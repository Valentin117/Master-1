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hm\Documents\Clients\ADS\CNES_Surv-2016-01-17\CNES_Surv\SupervCNES\"/>
    </mc:Choice>
  </mc:AlternateContent>
  <bookViews>
    <workbookView xWindow="-12" yWindow="4272" windowWidth="12120" windowHeight="4332" tabRatio="432"/>
  </bookViews>
  <sheets>
    <sheet name="Architecture" sheetId="13" r:id="rId1"/>
    <sheet name="Installation" sheetId="1" r:id="rId2"/>
    <sheet name="GUI" sheetId="3" r:id="rId3"/>
    <sheet name="Fonctionnels" sheetId="4" r:id="rId4"/>
    <sheet name="Exploit" sheetId="5" r:id="rId5"/>
    <sheet name="Sécurité" sheetId="6" r:id="rId6"/>
    <sheet name="Couts" sheetId="7" r:id="rId7"/>
    <sheet name="Doc" sheetId="9" r:id="rId8"/>
    <sheet name="Maint" sheetId="10" r:id="rId9"/>
    <sheet name="Synthèse" sheetId="11" r:id="rId10"/>
    <sheet name="Module1" sheetId="12" state="veryHidden" r:id=""/>
  </sheets>
  <definedNames>
    <definedName name="_xlnm.Print_Area" localSheetId="0">Architecture!$A$1:$K$33</definedName>
    <definedName name="_xlnm.Print_Area" localSheetId="6">Couts!$A$1:$F$22</definedName>
    <definedName name="_xlnm.Print_Area" localSheetId="7">Doc!$A$1:$F$24</definedName>
    <definedName name="_xlnm.Print_Area" localSheetId="4">Exploit!$A$1:$F$42</definedName>
    <definedName name="_xlnm.Print_Area" localSheetId="3">Fonctionnels!$A$1:$F$65</definedName>
    <definedName name="_xlnm.Print_Area" localSheetId="2">GUI!$A$1:$F$23</definedName>
    <definedName name="_xlnm.Print_Area" localSheetId="1">Installation!$A$1:$F$20</definedName>
    <definedName name="_xlnm.Print_Area" localSheetId="8">Maint!$A$1:$F$22</definedName>
    <definedName name="_xlnm.Print_Area" localSheetId="5">Sécurité!$A$1:$F$21</definedName>
  </definedNames>
  <calcPr calcId="171027"/>
</workbook>
</file>

<file path=xl/calcChain.xml><?xml version="1.0" encoding="utf-8"?>
<calcChain xmlns="http://schemas.openxmlformats.org/spreadsheetml/2006/main">
  <c r="D62" i="4" l="1"/>
  <c r="P59" i="4"/>
  <c r="O59" i="4"/>
  <c r="N59" i="4"/>
  <c r="M59" i="4"/>
  <c r="L59" i="4"/>
  <c r="K59" i="4"/>
  <c r="P58" i="4"/>
  <c r="O58" i="4"/>
  <c r="N58" i="4"/>
  <c r="M58" i="4"/>
  <c r="L58" i="4"/>
  <c r="K58" i="4"/>
  <c r="P36" i="5"/>
  <c r="O36" i="5"/>
  <c r="N36" i="5"/>
  <c r="M36" i="5"/>
  <c r="L36" i="5"/>
  <c r="K36" i="5"/>
  <c r="P35" i="5"/>
  <c r="O35" i="5"/>
  <c r="N35" i="5"/>
  <c r="M35" i="5"/>
  <c r="L35" i="5"/>
  <c r="K35" i="5"/>
  <c r="P34" i="5"/>
  <c r="O34" i="5"/>
  <c r="N34" i="5"/>
  <c r="M34" i="5"/>
  <c r="L34" i="5"/>
  <c r="K34" i="5"/>
  <c r="P33" i="5"/>
  <c r="O33" i="5"/>
  <c r="N33" i="5"/>
  <c r="M33" i="5"/>
  <c r="L33" i="5"/>
  <c r="K33" i="5"/>
  <c r="P11" i="5"/>
  <c r="O11" i="5"/>
  <c r="N11" i="5"/>
  <c r="M11" i="5"/>
  <c r="L11" i="5"/>
  <c r="K11" i="5"/>
  <c r="P16" i="7"/>
  <c r="O16" i="7"/>
  <c r="N16" i="7"/>
  <c r="M16" i="7"/>
  <c r="K16" i="7"/>
  <c r="L16" i="7"/>
  <c r="S11" i="11"/>
  <c r="P17" i="3"/>
  <c r="O17" i="3"/>
  <c r="N17" i="3"/>
  <c r="M17" i="3"/>
  <c r="L17" i="3"/>
  <c r="K17" i="3"/>
  <c r="P15" i="6"/>
  <c r="O15" i="6"/>
  <c r="N15" i="6"/>
  <c r="M15" i="6"/>
  <c r="L15" i="6"/>
  <c r="K15" i="6"/>
  <c r="P14" i="6"/>
  <c r="O14" i="6"/>
  <c r="N14" i="6"/>
  <c r="M14" i="6"/>
  <c r="L14" i="6"/>
  <c r="K14" i="6"/>
  <c r="P13" i="6"/>
  <c r="O13" i="6"/>
  <c r="N13" i="6"/>
  <c r="M13" i="6"/>
  <c r="L13" i="6"/>
  <c r="K13" i="6"/>
  <c r="P14" i="1"/>
  <c r="O14" i="1"/>
  <c r="N14" i="1"/>
  <c r="M14" i="1"/>
  <c r="L14" i="1"/>
  <c r="K14" i="1"/>
  <c r="P13" i="1"/>
  <c r="O13" i="1"/>
  <c r="N13" i="1"/>
  <c r="M13" i="1"/>
  <c r="L13" i="1"/>
  <c r="K13" i="1"/>
  <c r="P12" i="1"/>
  <c r="O12" i="1"/>
  <c r="N12" i="1"/>
  <c r="M12" i="1"/>
  <c r="L12" i="1"/>
  <c r="K12" i="1"/>
  <c r="P11" i="1"/>
  <c r="O11" i="1"/>
  <c r="N11" i="1"/>
  <c r="M11" i="1"/>
  <c r="L11" i="1"/>
  <c r="K11" i="1"/>
  <c r="P10" i="1"/>
  <c r="O10" i="1"/>
  <c r="N10" i="1"/>
  <c r="M10" i="1"/>
  <c r="L10" i="1"/>
  <c r="K10" i="1"/>
  <c r="Q10" i="11"/>
  <c r="Q9" i="11"/>
  <c r="Q8" i="11"/>
  <c r="Q7" i="11"/>
  <c r="Q6" i="11"/>
  <c r="Q5" i="11"/>
  <c r="Q4" i="11"/>
  <c r="Q3" i="11"/>
  <c r="Q2" i="11"/>
  <c r="K8" i="10" l="1"/>
  <c r="L8" i="10"/>
  <c r="M8" i="10"/>
  <c r="N8" i="10"/>
  <c r="O8" i="10"/>
  <c r="P8" i="10"/>
  <c r="K9" i="10"/>
  <c r="L9" i="10"/>
  <c r="M9" i="10"/>
  <c r="N9" i="10"/>
  <c r="O9" i="10"/>
  <c r="P9" i="10"/>
  <c r="K10" i="10"/>
  <c r="L10" i="10"/>
  <c r="M10" i="10"/>
  <c r="N10" i="10"/>
  <c r="O10" i="10"/>
  <c r="P10" i="10"/>
  <c r="K11" i="10"/>
  <c r="L11" i="10"/>
  <c r="M11" i="10"/>
  <c r="N11" i="10"/>
  <c r="O11" i="10"/>
  <c r="P11" i="10"/>
  <c r="K12" i="10"/>
  <c r="L12" i="10"/>
  <c r="M12" i="10"/>
  <c r="N12" i="10"/>
  <c r="O12" i="10"/>
  <c r="P12" i="10"/>
  <c r="K13" i="10"/>
  <c r="L13" i="10"/>
  <c r="M13" i="10"/>
  <c r="N13" i="10"/>
  <c r="O13" i="10"/>
  <c r="P13" i="10"/>
  <c r="K14" i="10"/>
  <c r="L14" i="10"/>
  <c r="M14" i="10"/>
  <c r="N14" i="10"/>
  <c r="O14" i="10"/>
  <c r="P14" i="10"/>
  <c r="K15" i="10"/>
  <c r="L15" i="10"/>
  <c r="M15" i="10"/>
  <c r="N15" i="10"/>
  <c r="O15" i="10"/>
  <c r="P15" i="10"/>
  <c r="K16" i="10"/>
  <c r="L16" i="10"/>
  <c r="M16" i="10"/>
  <c r="N16" i="10"/>
  <c r="O16" i="10"/>
  <c r="P16" i="10"/>
  <c r="P7" i="10"/>
  <c r="O7" i="10"/>
  <c r="N7" i="10"/>
  <c r="M7" i="10"/>
  <c r="L7" i="10"/>
  <c r="K7" i="10"/>
  <c r="K8" i="9"/>
  <c r="L8" i="9"/>
  <c r="M8" i="9"/>
  <c r="N8" i="9"/>
  <c r="O8" i="9"/>
  <c r="P8" i="9"/>
  <c r="K9" i="9"/>
  <c r="L9" i="9"/>
  <c r="M9" i="9"/>
  <c r="N9" i="9"/>
  <c r="O9" i="9"/>
  <c r="P9" i="9"/>
  <c r="K10" i="9"/>
  <c r="L10" i="9"/>
  <c r="M10" i="9"/>
  <c r="N10" i="9"/>
  <c r="O10" i="9"/>
  <c r="P10" i="9"/>
  <c r="K11" i="9"/>
  <c r="L11" i="9"/>
  <c r="M11" i="9"/>
  <c r="N11" i="9"/>
  <c r="O11" i="9"/>
  <c r="P11" i="9"/>
  <c r="K12" i="9"/>
  <c r="L12" i="9"/>
  <c r="M12" i="9"/>
  <c r="N12" i="9"/>
  <c r="O12" i="9"/>
  <c r="P12" i="9"/>
  <c r="K13" i="9"/>
  <c r="L13" i="9"/>
  <c r="M13" i="9"/>
  <c r="N13" i="9"/>
  <c r="O13" i="9"/>
  <c r="P13" i="9"/>
  <c r="K14" i="9"/>
  <c r="L14" i="9"/>
  <c r="M14" i="9"/>
  <c r="N14" i="9"/>
  <c r="O14" i="9"/>
  <c r="P14" i="9"/>
  <c r="K15" i="9"/>
  <c r="L15" i="9"/>
  <c r="M15" i="9"/>
  <c r="N15" i="9"/>
  <c r="O15" i="9"/>
  <c r="P15" i="9"/>
  <c r="K16" i="9"/>
  <c r="L16" i="9"/>
  <c r="M16" i="9"/>
  <c r="N16" i="9"/>
  <c r="O16" i="9"/>
  <c r="P16" i="9"/>
  <c r="K17" i="9"/>
  <c r="L17" i="9"/>
  <c r="M17" i="9"/>
  <c r="N17" i="9"/>
  <c r="O17" i="9"/>
  <c r="P17" i="9"/>
  <c r="K18" i="9"/>
  <c r="L18" i="9"/>
  <c r="M18" i="9"/>
  <c r="N18" i="9"/>
  <c r="O18" i="9"/>
  <c r="P18" i="9"/>
  <c r="P7" i="9"/>
  <c r="O7" i="9"/>
  <c r="N7" i="9"/>
  <c r="M7" i="9"/>
  <c r="L7" i="9"/>
  <c r="K7" i="9"/>
  <c r="K8" i="7"/>
  <c r="M8" i="7"/>
  <c r="N8" i="7"/>
  <c r="O8" i="7"/>
  <c r="P8" i="7"/>
  <c r="K9" i="7"/>
  <c r="M9" i="7"/>
  <c r="N9" i="7"/>
  <c r="O9" i="7"/>
  <c r="P9" i="7"/>
  <c r="K10" i="7"/>
  <c r="M10" i="7"/>
  <c r="N10" i="7"/>
  <c r="O10" i="7"/>
  <c r="P10" i="7"/>
  <c r="K11" i="7"/>
  <c r="M11" i="7"/>
  <c r="N11" i="7"/>
  <c r="O11" i="7"/>
  <c r="P11" i="7"/>
  <c r="K12" i="7"/>
  <c r="M12" i="7"/>
  <c r="N12" i="7"/>
  <c r="O12" i="7"/>
  <c r="P12" i="7"/>
  <c r="K13" i="7"/>
  <c r="M13" i="7"/>
  <c r="N13" i="7"/>
  <c r="O13" i="7"/>
  <c r="P13" i="7"/>
  <c r="K14" i="7"/>
  <c r="M14" i="7"/>
  <c r="N14" i="7"/>
  <c r="O14" i="7"/>
  <c r="P14" i="7"/>
  <c r="K15" i="7"/>
  <c r="M15" i="7"/>
  <c r="N15" i="7"/>
  <c r="O15" i="7"/>
  <c r="P15" i="7"/>
  <c r="P7" i="7"/>
  <c r="O7" i="7"/>
  <c r="N7" i="7"/>
  <c r="M7" i="7"/>
  <c r="L7" i="7"/>
  <c r="K7" i="7"/>
  <c r="O11" i="6"/>
  <c r="K12" i="6"/>
  <c r="L12" i="6"/>
  <c r="M12" i="6"/>
  <c r="N12" i="6"/>
  <c r="O12" i="6"/>
  <c r="P12" i="6"/>
  <c r="K8" i="6"/>
  <c r="L8" i="6"/>
  <c r="M8" i="6"/>
  <c r="N8" i="6"/>
  <c r="O8" i="6"/>
  <c r="P8" i="6"/>
  <c r="K9" i="6"/>
  <c r="L9" i="6"/>
  <c r="M9" i="6"/>
  <c r="N9" i="6"/>
  <c r="O9" i="6"/>
  <c r="P9" i="6"/>
  <c r="K10" i="6"/>
  <c r="L10" i="6"/>
  <c r="M10" i="6"/>
  <c r="N10" i="6"/>
  <c r="O10" i="6"/>
  <c r="P10" i="6"/>
  <c r="K11" i="6"/>
  <c r="L11" i="6"/>
  <c r="M11" i="6"/>
  <c r="N11" i="6"/>
  <c r="P11" i="6"/>
  <c r="P7" i="6"/>
  <c r="O7" i="6"/>
  <c r="N7" i="6"/>
  <c r="M7" i="6"/>
  <c r="L7" i="6"/>
  <c r="K7" i="6"/>
  <c r="K8" i="5"/>
  <c r="L8" i="5"/>
  <c r="M8" i="5"/>
  <c r="N8" i="5"/>
  <c r="O8" i="5"/>
  <c r="P8" i="5"/>
  <c r="K9" i="5"/>
  <c r="L9" i="5"/>
  <c r="M9" i="5"/>
  <c r="N9" i="5"/>
  <c r="O9" i="5"/>
  <c r="P9" i="5"/>
  <c r="K10" i="5"/>
  <c r="L10" i="5"/>
  <c r="M10" i="5"/>
  <c r="N10" i="5"/>
  <c r="O10" i="5"/>
  <c r="P10" i="5"/>
  <c r="K12" i="5"/>
  <c r="L12" i="5"/>
  <c r="M12" i="5"/>
  <c r="N12" i="5"/>
  <c r="O12" i="5"/>
  <c r="P12" i="5"/>
  <c r="K13" i="5"/>
  <c r="L13" i="5"/>
  <c r="M13" i="5"/>
  <c r="N13" i="5"/>
  <c r="O13" i="5"/>
  <c r="P13" i="5"/>
  <c r="K14" i="5"/>
  <c r="L14" i="5"/>
  <c r="M14" i="5"/>
  <c r="N14" i="5"/>
  <c r="O14" i="5"/>
  <c r="P14" i="5"/>
  <c r="K15" i="5"/>
  <c r="L15" i="5"/>
  <c r="M15" i="5"/>
  <c r="N15" i="5"/>
  <c r="O15" i="5"/>
  <c r="P15" i="5"/>
  <c r="K16" i="5"/>
  <c r="L16" i="5"/>
  <c r="M16" i="5"/>
  <c r="N16" i="5"/>
  <c r="O16" i="5"/>
  <c r="P16" i="5"/>
  <c r="K17" i="5"/>
  <c r="L17" i="5"/>
  <c r="M17" i="5"/>
  <c r="N17" i="5"/>
  <c r="O17" i="5"/>
  <c r="P17" i="5"/>
  <c r="K18" i="5"/>
  <c r="L18" i="5"/>
  <c r="M18" i="5"/>
  <c r="N18" i="5"/>
  <c r="O18" i="5"/>
  <c r="P18" i="5"/>
  <c r="K19" i="5"/>
  <c r="L19" i="5"/>
  <c r="M19" i="5"/>
  <c r="N19" i="5"/>
  <c r="O19" i="5"/>
  <c r="P19" i="5"/>
  <c r="K20" i="5"/>
  <c r="L20" i="5"/>
  <c r="M20" i="5"/>
  <c r="N20" i="5"/>
  <c r="O20" i="5"/>
  <c r="P20" i="5"/>
  <c r="K21" i="5"/>
  <c r="L21" i="5"/>
  <c r="M21" i="5"/>
  <c r="N21" i="5"/>
  <c r="O21" i="5"/>
  <c r="P21" i="5"/>
  <c r="K22" i="5"/>
  <c r="L22" i="5"/>
  <c r="M22" i="5"/>
  <c r="N22" i="5"/>
  <c r="O22" i="5"/>
  <c r="P22" i="5"/>
  <c r="K23" i="5"/>
  <c r="L23" i="5"/>
  <c r="M23" i="5"/>
  <c r="N23" i="5"/>
  <c r="O23" i="5"/>
  <c r="P23" i="5"/>
  <c r="K24" i="5"/>
  <c r="L24" i="5"/>
  <c r="M24" i="5"/>
  <c r="N24" i="5"/>
  <c r="O24" i="5"/>
  <c r="P24" i="5"/>
  <c r="K25" i="5"/>
  <c r="L25" i="5"/>
  <c r="M25" i="5"/>
  <c r="N25" i="5"/>
  <c r="O25" i="5"/>
  <c r="P25" i="5"/>
  <c r="K26" i="5"/>
  <c r="L26" i="5"/>
  <c r="M26" i="5"/>
  <c r="N26" i="5"/>
  <c r="O26" i="5"/>
  <c r="P26" i="5"/>
  <c r="K27" i="5"/>
  <c r="L27" i="5"/>
  <c r="M27" i="5"/>
  <c r="N27" i="5"/>
  <c r="O27" i="5"/>
  <c r="P27" i="5"/>
  <c r="K28" i="5"/>
  <c r="L28" i="5"/>
  <c r="M28" i="5"/>
  <c r="N28" i="5"/>
  <c r="O28" i="5"/>
  <c r="P28" i="5"/>
  <c r="K29" i="5"/>
  <c r="L29" i="5"/>
  <c r="M29" i="5"/>
  <c r="N29" i="5"/>
  <c r="O29" i="5"/>
  <c r="P29" i="5"/>
  <c r="K30" i="5"/>
  <c r="L30" i="5"/>
  <c r="M30" i="5"/>
  <c r="N30" i="5"/>
  <c r="O30" i="5"/>
  <c r="P30" i="5"/>
  <c r="K31" i="5"/>
  <c r="L31" i="5"/>
  <c r="M31" i="5"/>
  <c r="N31" i="5"/>
  <c r="O31" i="5"/>
  <c r="P31" i="5"/>
  <c r="K32" i="5"/>
  <c r="L32" i="5"/>
  <c r="M32" i="5"/>
  <c r="N32" i="5"/>
  <c r="O32" i="5"/>
  <c r="P32" i="5"/>
  <c r="P7" i="5"/>
  <c r="O7" i="5"/>
  <c r="N7" i="5"/>
  <c r="M7" i="5"/>
  <c r="L7" i="5"/>
  <c r="K7" i="5"/>
  <c r="K8" i="4"/>
  <c r="L8" i="4"/>
  <c r="M8" i="4"/>
  <c r="N8" i="4"/>
  <c r="O8" i="4"/>
  <c r="P8" i="4"/>
  <c r="K9" i="4"/>
  <c r="L9" i="4"/>
  <c r="M9" i="4"/>
  <c r="N9" i="4"/>
  <c r="O9" i="4"/>
  <c r="P9" i="4"/>
  <c r="K10" i="4"/>
  <c r="L10" i="4"/>
  <c r="M10" i="4"/>
  <c r="N10" i="4"/>
  <c r="O10" i="4"/>
  <c r="P10" i="4"/>
  <c r="K11" i="4"/>
  <c r="L11" i="4"/>
  <c r="M11" i="4"/>
  <c r="N11" i="4"/>
  <c r="O11" i="4"/>
  <c r="P11" i="4"/>
  <c r="K12" i="4"/>
  <c r="L12" i="4"/>
  <c r="M12" i="4"/>
  <c r="N12" i="4"/>
  <c r="O12" i="4"/>
  <c r="P12" i="4"/>
  <c r="K13" i="4"/>
  <c r="L13" i="4"/>
  <c r="M13" i="4"/>
  <c r="N13" i="4"/>
  <c r="O13" i="4"/>
  <c r="P13" i="4"/>
  <c r="K14" i="4"/>
  <c r="L14" i="4"/>
  <c r="M14" i="4"/>
  <c r="N14" i="4"/>
  <c r="O14" i="4"/>
  <c r="P14" i="4"/>
  <c r="K15" i="4"/>
  <c r="L15" i="4"/>
  <c r="M15" i="4"/>
  <c r="N15" i="4"/>
  <c r="O15" i="4"/>
  <c r="P15" i="4"/>
  <c r="K16" i="4"/>
  <c r="L16" i="4"/>
  <c r="M16" i="4"/>
  <c r="N16" i="4"/>
  <c r="O16" i="4"/>
  <c r="P16" i="4"/>
  <c r="K17" i="4"/>
  <c r="L17" i="4"/>
  <c r="M17" i="4"/>
  <c r="N17" i="4"/>
  <c r="O17" i="4"/>
  <c r="P17" i="4"/>
  <c r="K18" i="4"/>
  <c r="L18" i="4"/>
  <c r="M18" i="4"/>
  <c r="N18" i="4"/>
  <c r="O18" i="4"/>
  <c r="P18" i="4"/>
  <c r="K19" i="4"/>
  <c r="L19" i="4"/>
  <c r="M19" i="4"/>
  <c r="N19" i="4"/>
  <c r="O19" i="4"/>
  <c r="P19" i="4"/>
  <c r="K20" i="4"/>
  <c r="L20" i="4"/>
  <c r="M20" i="4"/>
  <c r="N20" i="4"/>
  <c r="O20" i="4"/>
  <c r="P20" i="4"/>
  <c r="K21" i="4"/>
  <c r="L21" i="4"/>
  <c r="M21" i="4"/>
  <c r="N21" i="4"/>
  <c r="O21" i="4"/>
  <c r="P21" i="4"/>
  <c r="K22" i="4"/>
  <c r="L22" i="4"/>
  <c r="M22" i="4"/>
  <c r="N22" i="4"/>
  <c r="O22" i="4"/>
  <c r="P22" i="4"/>
  <c r="K23" i="4"/>
  <c r="L23" i="4"/>
  <c r="M23" i="4"/>
  <c r="N23" i="4"/>
  <c r="O23" i="4"/>
  <c r="P23" i="4"/>
  <c r="K24" i="4"/>
  <c r="L24" i="4"/>
  <c r="M24" i="4"/>
  <c r="N24" i="4"/>
  <c r="O24" i="4"/>
  <c r="P24" i="4"/>
  <c r="K25" i="4"/>
  <c r="L25" i="4"/>
  <c r="M25" i="4"/>
  <c r="N25" i="4"/>
  <c r="O25" i="4"/>
  <c r="P25" i="4"/>
  <c r="K26" i="4"/>
  <c r="L26" i="4"/>
  <c r="M26" i="4"/>
  <c r="N26" i="4"/>
  <c r="O26" i="4"/>
  <c r="P26" i="4"/>
  <c r="K27" i="4"/>
  <c r="L27" i="4"/>
  <c r="M27" i="4"/>
  <c r="N27" i="4"/>
  <c r="O27" i="4"/>
  <c r="P27" i="4"/>
  <c r="K28" i="4"/>
  <c r="L28" i="4"/>
  <c r="M28" i="4"/>
  <c r="N28" i="4"/>
  <c r="O28" i="4"/>
  <c r="P28" i="4"/>
  <c r="K29" i="4"/>
  <c r="L29" i="4"/>
  <c r="M29" i="4"/>
  <c r="N29" i="4"/>
  <c r="O29" i="4"/>
  <c r="P29" i="4"/>
  <c r="K30" i="4"/>
  <c r="L30" i="4"/>
  <c r="M30" i="4"/>
  <c r="N30" i="4"/>
  <c r="O30" i="4"/>
  <c r="P30" i="4"/>
  <c r="K31" i="4"/>
  <c r="L31" i="4"/>
  <c r="M31" i="4"/>
  <c r="N31" i="4"/>
  <c r="O31" i="4"/>
  <c r="P31" i="4"/>
  <c r="K32" i="4"/>
  <c r="L32" i="4"/>
  <c r="M32" i="4"/>
  <c r="N32" i="4"/>
  <c r="O32" i="4"/>
  <c r="P32" i="4"/>
  <c r="K33" i="4"/>
  <c r="L33" i="4"/>
  <c r="M33" i="4"/>
  <c r="N33" i="4"/>
  <c r="O33" i="4"/>
  <c r="P33" i="4"/>
  <c r="K34" i="4"/>
  <c r="L34" i="4"/>
  <c r="M34" i="4"/>
  <c r="N34" i="4"/>
  <c r="O34" i="4"/>
  <c r="P34" i="4"/>
  <c r="K35" i="4"/>
  <c r="L35" i="4"/>
  <c r="M35" i="4"/>
  <c r="N35" i="4"/>
  <c r="O35" i="4"/>
  <c r="P35" i="4"/>
  <c r="K36" i="4"/>
  <c r="L36" i="4"/>
  <c r="M36" i="4"/>
  <c r="N36" i="4"/>
  <c r="O36" i="4"/>
  <c r="P36" i="4"/>
  <c r="K37" i="4"/>
  <c r="L37" i="4"/>
  <c r="M37" i="4"/>
  <c r="N37" i="4"/>
  <c r="O37" i="4"/>
  <c r="P37" i="4"/>
  <c r="K38" i="4"/>
  <c r="L38" i="4"/>
  <c r="M38" i="4"/>
  <c r="N38" i="4"/>
  <c r="O38" i="4"/>
  <c r="P38" i="4"/>
  <c r="K39" i="4"/>
  <c r="L39" i="4"/>
  <c r="M39" i="4"/>
  <c r="N39" i="4"/>
  <c r="O39" i="4"/>
  <c r="P39" i="4"/>
  <c r="K40" i="4"/>
  <c r="L40" i="4"/>
  <c r="M40" i="4"/>
  <c r="N40" i="4"/>
  <c r="O40" i="4"/>
  <c r="P40" i="4"/>
  <c r="K41" i="4"/>
  <c r="L41" i="4"/>
  <c r="M41" i="4"/>
  <c r="N41" i="4"/>
  <c r="O41" i="4"/>
  <c r="P41" i="4"/>
  <c r="K42" i="4"/>
  <c r="L42" i="4"/>
  <c r="M42" i="4"/>
  <c r="N42" i="4"/>
  <c r="O42" i="4"/>
  <c r="P42" i="4"/>
  <c r="K43" i="4"/>
  <c r="L43" i="4"/>
  <c r="M43" i="4"/>
  <c r="N43" i="4"/>
  <c r="O43" i="4"/>
  <c r="P43" i="4"/>
  <c r="K44" i="4"/>
  <c r="L44" i="4"/>
  <c r="M44" i="4"/>
  <c r="N44" i="4"/>
  <c r="O44" i="4"/>
  <c r="P44" i="4"/>
  <c r="K45" i="4"/>
  <c r="L45" i="4"/>
  <c r="M45" i="4"/>
  <c r="N45" i="4"/>
  <c r="O45" i="4"/>
  <c r="P45" i="4"/>
  <c r="K46" i="4"/>
  <c r="L46" i="4"/>
  <c r="M46" i="4"/>
  <c r="N46" i="4"/>
  <c r="O46" i="4"/>
  <c r="P46" i="4"/>
  <c r="K47" i="4"/>
  <c r="L47" i="4"/>
  <c r="M47" i="4"/>
  <c r="N47" i="4"/>
  <c r="O47" i="4"/>
  <c r="P47" i="4"/>
  <c r="K48" i="4"/>
  <c r="L48" i="4"/>
  <c r="M48" i="4"/>
  <c r="N48" i="4"/>
  <c r="O48" i="4"/>
  <c r="P48" i="4"/>
  <c r="K49" i="4"/>
  <c r="L49" i="4"/>
  <c r="M49" i="4"/>
  <c r="N49" i="4"/>
  <c r="O49" i="4"/>
  <c r="P49" i="4"/>
  <c r="K50" i="4"/>
  <c r="L50" i="4"/>
  <c r="M50" i="4"/>
  <c r="N50" i="4"/>
  <c r="O50" i="4"/>
  <c r="P50" i="4"/>
  <c r="K51" i="4"/>
  <c r="L51" i="4"/>
  <c r="M51" i="4"/>
  <c r="N51" i="4"/>
  <c r="O51" i="4"/>
  <c r="P51" i="4"/>
  <c r="K52" i="4"/>
  <c r="L52" i="4"/>
  <c r="M52" i="4"/>
  <c r="N52" i="4"/>
  <c r="O52" i="4"/>
  <c r="P52" i="4"/>
  <c r="K53" i="4"/>
  <c r="L53" i="4"/>
  <c r="M53" i="4"/>
  <c r="N53" i="4"/>
  <c r="O53" i="4"/>
  <c r="P53" i="4"/>
  <c r="K54" i="4"/>
  <c r="L54" i="4"/>
  <c r="M54" i="4"/>
  <c r="N54" i="4"/>
  <c r="O54" i="4"/>
  <c r="P54" i="4"/>
  <c r="K55" i="4"/>
  <c r="L55" i="4"/>
  <c r="M55" i="4"/>
  <c r="N55" i="4"/>
  <c r="O55" i="4"/>
  <c r="P55" i="4"/>
  <c r="K56" i="4"/>
  <c r="L56" i="4"/>
  <c r="M56" i="4"/>
  <c r="N56" i="4"/>
  <c r="O56" i="4"/>
  <c r="P56" i="4"/>
  <c r="K57" i="4"/>
  <c r="L57" i="4"/>
  <c r="M57" i="4"/>
  <c r="N57" i="4"/>
  <c r="O57" i="4"/>
  <c r="P57" i="4"/>
  <c r="P7" i="4"/>
  <c r="O7" i="4"/>
  <c r="N7" i="4"/>
  <c r="M7" i="4"/>
  <c r="L7" i="4"/>
  <c r="K7" i="4"/>
  <c r="L18" i="6" l="1"/>
  <c r="L21" i="6" s="1"/>
  <c r="J7" i="11" s="1"/>
  <c r="P18" i="6"/>
  <c r="P21" i="6" s="1"/>
  <c r="N7" i="11" s="1"/>
  <c r="O18" i="6"/>
  <c r="O21" i="6" s="1"/>
  <c r="M7" i="11" s="1"/>
  <c r="N18" i="6"/>
  <c r="N21" i="6" s="1"/>
  <c r="L7" i="11" s="1"/>
  <c r="M18" i="6"/>
  <c r="M21" i="6" s="1"/>
  <c r="K7" i="11" s="1"/>
  <c r="K18" i="6"/>
  <c r="K21" i="6" s="1"/>
  <c r="I7" i="11" s="1"/>
  <c r="K19" i="10"/>
  <c r="K22" i="10" s="1"/>
  <c r="I10" i="11" s="1"/>
  <c r="M19" i="10"/>
  <c r="M22" i="10" s="1"/>
  <c r="K10" i="11" s="1"/>
  <c r="O19" i="10"/>
  <c r="O22" i="10" s="1"/>
  <c r="M10" i="11" s="1"/>
  <c r="P19" i="10"/>
  <c r="P22" i="10" s="1"/>
  <c r="N10" i="11" s="1"/>
  <c r="L19" i="10"/>
  <c r="L22" i="10" s="1"/>
  <c r="J10" i="11" s="1"/>
  <c r="N19" i="10"/>
  <c r="N22" i="10" s="1"/>
  <c r="L10" i="11" s="1"/>
  <c r="K21" i="9"/>
  <c r="K24" i="9" s="1"/>
  <c r="I9" i="11" s="1"/>
  <c r="O21" i="9"/>
  <c r="O24" i="9" s="1"/>
  <c r="M9" i="11" s="1"/>
  <c r="M21" i="9"/>
  <c r="M24" i="9" s="1"/>
  <c r="K9" i="11" s="1"/>
  <c r="N19" i="7"/>
  <c r="N22" i="7" s="1"/>
  <c r="L8" i="11" s="1"/>
  <c r="K19" i="7"/>
  <c r="K22" i="7" s="1"/>
  <c r="I8" i="11" s="1"/>
  <c r="O19" i="7"/>
  <c r="O22" i="7" s="1"/>
  <c r="M8" i="11" s="1"/>
  <c r="M19" i="7"/>
  <c r="M22" i="7" s="1"/>
  <c r="K8" i="11" s="1"/>
  <c r="P19" i="7"/>
  <c r="P22" i="7" s="1"/>
  <c r="N8" i="11" s="1"/>
  <c r="L21" i="9"/>
  <c r="L24" i="9" s="1"/>
  <c r="J9" i="11" s="1"/>
  <c r="N21" i="9"/>
  <c r="N24" i="9" s="1"/>
  <c r="L9" i="11" s="1"/>
  <c r="P21" i="9"/>
  <c r="P24" i="9" s="1"/>
  <c r="N9" i="11" s="1"/>
  <c r="O39" i="5"/>
  <c r="O42" i="5" s="1"/>
  <c r="M6" i="11" s="1"/>
  <c r="M39" i="5"/>
  <c r="M42" i="5" s="1"/>
  <c r="K6" i="11" s="1"/>
  <c r="K39" i="5"/>
  <c r="K42" i="5" s="1"/>
  <c r="I6" i="11" s="1"/>
  <c r="P39" i="5"/>
  <c r="P42" i="5" s="1"/>
  <c r="N6" i="11" s="1"/>
  <c r="N39" i="5"/>
  <c r="N42" i="5" s="1"/>
  <c r="L6" i="11" s="1"/>
  <c r="L39" i="5"/>
  <c r="L42" i="5" s="1"/>
  <c r="J6" i="11" s="1"/>
  <c r="P62" i="4"/>
  <c r="P65" i="4" s="1"/>
  <c r="N5" i="11" s="1"/>
  <c r="L62" i="4"/>
  <c r="L65" i="4" s="1"/>
  <c r="J5" i="11" s="1"/>
  <c r="N62" i="4"/>
  <c r="N65" i="4" s="1"/>
  <c r="L5" i="11" s="1"/>
  <c r="O62" i="4"/>
  <c r="O65" i="4" s="1"/>
  <c r="M5" i="11" s="1"/>
  <c r="M62" i="4"/>
  <c r="M65" i="4" s="1"/>
  <c r="K5" i="11" s="1"/>
  <c r="K62" i="4"/>
  <c r="K65" i="4" s="1"/>
  <c r="I5" i="11" s="1"/>
  <c r="K8" i="3"/>
  <c r="L8" i="3"/>
  <c r="M8" i="3"/>
  <c r="N8" i="3"/>
  <c r="O8" i="3"/>
  <c r="P8" i="3"/>
  <c r="K9" i="3"/>
  <c r="L9" i="3"/>
  <c r="M9" i="3"/>
  <c r="N9" i="3"/>
  <c r="O9" i="3"/>
  <c r="P9" i="3"/>
  <c r="K10" i="3"/>
  <c r="L10" i="3"/>
  <c r="M10" i="3"/>
  <c r="N10" i="3"/>
  <c r="O10" i="3"/>
  <c r="P10" i="3"/>
  <c r="K11" i="3"/>
  <c r="L11" i="3"/>
  <c r="M11" i="3"/>
  <c r="N11" i="3"/>
  <c r="O11" i="3"/>
  <c r="P11" i="3"/>
  <c r="K12" i="3"/>
  <c r="L12" i="3"/>
  <c r="M12" i="3"/>
  <c r="N12" i="3"/>
  <c r="O12" i="3"/>
  <c r="P12" i="3"/>
  <c r="K13" i="3"/>
  <c r="L13" i="3"/>
  <c r="M13" i="3"/>
  <c r="N13" i="3"/>
  <c r="O13" i="3"/>
  <c r="P13" i="3"/>
  <c r="K14" i="3"/>
  <c r="L14" i="3"/>
  <c r="M14" i="3"/>
  <c r="N14" i="3"/>
  <c r="O14" i="3"/>
  <c r="P14" i="3"/>
  <c r="K15" i="3"/>
  <c r="L15" i="3"/>
  <c r="M15" i="3"/>
  <c r="N15" i="3"/>
  <c r="O15" i="3"/>
  <c r="P15" i="3"/>
  <c r="K16" i="3"/>
  <c r="L16" i="3"/>
  <c r="M16" i="3"/>
  <c r="N16" i="3"/>
  <c r="O16" i="3"/>
  <c r="P16" i="3"/>
  <c r="P7" i="3"/>
  <c r="O7" i="3"/>
  <c r="N7" i="3"/>
  <c r="M7" i="3"/>
  <c r="L7" i="3"/>
  <c r="K7" i="3"/>
  <c r="P9" i="1"/>
  <c r="O9" i="1"/>
  <c r="N9" i="1"/>
  <c r="M9" i="1"/>
  <c r="L9" i="1"/>
  <c r="K9" i="1"/>
  <c r="P8" i="1"/>
  <c r="O8" i="1"/>
  <c r="N8" i="1"/>
  <c r="M8" i="1"/>
  <c r="L8" i="1"/>
  <c r="K8" i="1"/>
  <c r="P7" i="1"/>
  <c r="O7" i="1"/>
  <c r="N7" i="1"/>
  <c r="M7" i="1"/>
  <c r="L7" i="1"/>
  <c r="K7" i="1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O7" i="13"/>
  <c r="P7" i="13"/>
  <c r="N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K7" i="13"/>
  <c r="L7" i="13"/>
  <c r="K8" i="13"/>
  <c r="K21" i="13"/>
  <c r="H5" i="11"/>
  <c r="L15" i="7"/>
  <c r="L14" i="7"/>
  <c r="L13" i="7"/>
  <c r="L12" i="7"/>
  <c r="L11" i="7"/>
  <c r="K27" i="13"/>
  <c r="K26" i="13"/>
  <c r="K25" i="13"/>
  <c r="K24" i="13"/>
  <c r="K23" i="13"/>
  <c r="K22" i="13"/>
  <c r="K20" i="13"/>
  <c r="K19" i="13"/>
  <c r="A8" i="6"/>
  <c r="A9" i="6" s="1"/>
  <c r="A10" i="6" s="1"/>
  <c r="A11" i="6" s="1"/>
  <c r="A12" i="6" s="1"/>
  <c r="A13" i="6" s="1"/>
  <c r="A14" i="6" s="1"/>
  <c r="A15" i="6" s="1"/>
  <c r="D18" i="6"/>
  <c r="K18" i="13"/>
  <c r="A7" i="13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K17" i="13"/>
  <c r="K16" i="13"/>
  <c r="K15" i="13"/>
  <c r="K14" i="13"/>
  <c r="K13" i="13"/>
  <c r="K12" i="13"/>
  <c r="D30" i="13"/>
  <c r="K9" i="13"/>
  <c r="K10" i="13"/>
  <c r="K11" i="13"/>
  <c r="A8" i="7"/>
  <c r="A9" i="7" s="1"/>
  <c r="A10" i="7" s="1"/>
  <c r="A11" i="7" s="1"/>
  <c r="A12" i="7" s="1"/>
  <c r="A13" i="7" s="1"/>
  <c r="A14" i="7" s="1"/>
  <c r="A15" i="7" s="1"/>
  <c r="A16" i="7" s="1"/>
  <c r="D19" i="7"/>
  <c r="L8" i="7"/>
  <c r="L9" i="7"/>
  <c r="L10" i="7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D21" i="9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8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D39" i="5"/>
  <c r="A8" i="3"/>
  <c r="A9" i="3" s="1"/>
  <c r="A10" i="3" s="1"/>
  <c r="D20" i="3"/>
  <c r="A7" i="1"/>
  <c r="A8" i="1" s="1"/>
  <c r="D17" i="1"/>
  <c r="D19" i="10"/>
  <c r="A8" i="10"/>
  <c r="A9" i="10" s="1"/>
  <c r="A10" i="10" s="1"/>
  <c r="A11" i="10" s="1"/>
  <c r="A12" i="10" s="1"/>
  <c r="A13" i="10" s="1"/>
  <c r="A14" i="10" s="1"/>
  <c r="A15" i="10" s="1"/>
  <c r="A16" i="10" s="1"/>
  <c r="D22" i="10" l="1"/>
  <c r="O10" i="11" s="1"/>
  <c r="A12" i="3"/>
  <c r="A13" i="3" s="1"/>
  <c r="A14" i="3" s="1"/>
  <c r="A15" i="3" s="1"/>
  <c r="A16" i="3" s="1"/>
  <c r="A17" i="3" s="1"/>
  <c r="A11" i="3"/>
  <c r="O17" i="1"/>
  <c r="O20" i="1" s="1"/>
  <c r="M3" i="11" s="1"/>
  <c r="M17" i="1"/>
  <c r="L19" i="7"/>
  <c r="L22" i="7" s="1"/>
  <c r="J8" i="11" s="1"/>
  <c r="P17" i="1"/>
  <c r="P20" i="1" s="1"/>
  <c r="N3" i="11" s="1"/>
  <c r="N17" i="1"/>
  <c r="L17" i="1"/>
  <c r="L20" i="1" s="1"/>
  <c r="J3" i="11" s="1"/>
  <c r="M30" i="13"/>
  <c r="M33" i="13" s="1"/>
  <c r="K2" i="11" s="1"/>
  <c r="O30" i="13"/>
  <c r="O33" i="13" s="1"/>
  <c r="M2" i="11" s="1"/>
  <c r="D24" i="9"/>
  <c r="O9" i="11" s="1"/>
  <c r="K20" i="3"/>
  <c r="K23" i="3" s="1"/>
  <c r="I4" i="11" s="1"/>
  <c r="M20" i="3"/>
  <c r="M23" i="3" s="1"/>
  <c r="K4" i="11" s="1"/>
  <c r="O20" i="3"/>
  <c r="O23" i="3" s="1"/>
  <c r="M4" i="11" s="1"/>
  <c r="L20" i="3"/>
  <c r="L23" i="3" s="1"/>
  <c r="J4" i="11" s="1"/>
  <c r="N20" i="3"/>
  <c r="N23" i="3" s="1"/>
  <c r="L4" i="11" s="1"/>
  <c r="N30" i="13"/>
  <c r="N33" i="13" s="1"/>
  <c r="L2" i="11" s="1"/>
  <c r="P30" i="13"/>
  <c r="P33" i="13" s="1"/>
  <c r="N2" i="11" s="1"/>
  <c r="D42" i="5"/>
  <c r="O6" i="11" s="1"/>
  <c r="D65" i="4"/>
  <c r="O5" i="11" s="1"/>
  <c r="D33" i="13"/>
  <c r="O2" i="11" s="1"/>
  <c r="D22" i="7"/>
  <c r="O8" i="11" s="1"/>
  <c r="P20" i="3"/>
  <c r="D23" i="3"/>
  <c r="O4" i="11" s="1"/>
  <c r="D21" i="6"/>
  <c r="O7" i="11" s="1"/>
  <c r="N20" i="1"/>
  <c r="L3" i="11" s="1"/>
  <c r="D20" i="1"/>
  <c r="O3" i="11" s="1"/>
  <c r="M20" i="1"/>
  <c r="K3" i="11" s="1"/>
  <c r="K17" i="1"/>
  <c r="L30" i="13"/>
  <c r="A9" i="1"/>
  <c r="A10" i="1" s="1"/>
  <c r="A11" i="1" s="1"/>
  <c r="A12" i="1" s="1"/>
  <c r="A13" i="1" s="1"/>
  <c r="A14" i="1" s="1"/>
  <c r="A22" i="13"/>
  <c r="A23" i="13" s="1"/>
  <c r="A24" i="13" s="1"/>
  <c r="A25" i="13" s="1"/>
  <c r="A26" i="13" s="1"/>
  <c r="A27" i="13" s="1"/>
  <c r="K30" i="13"/>
  <c r="F3" i="11" l="1"/>
  <c r="X3" i="11" s="1"/>
  <c r="E10" i="11"/>
  <c r="W10" i="11" s="1"/>
  <c r="B10" i="11"/>
  <c r="T10" i="11" s="1"/>
  <c r="D10" i="11"/>
  <c r="V10" i="11" s="1"/>
  <c r="G10" i="11"/>
  <c r="Y10" i="11" s="1"/>
  <c r="F10" i="11"/>
  <c r="X10" i="11" s="1"/>
  <c r="C10" i="11"/>
  <c r="U10" i="11" s="1"/>
  <c r="E9" i="11"/>
  <c r="W9" i="11" s="1"/>
  <c r="G9" i="11"/>
  <c r="Y9" i="11" s="1"/>
  <c r="F9" i="11"/>
  <c r="X9" i="11" s="1"/>
  <c r="D9" i="11"/>
  <c r="V9" i="11" s="1"/>
  <c r="C9" i="11"/>
  <c r="U9" i="11" s="1"/>
  <c r="B9" i="11"/>
  <c r="T9" i="11" s="1"/>
  <c r="E6" i="11"/>
  <c r="W6" i="11" s="1"/>
  <c r="C6" i="11"/>
  <c r="U6" i="11" s="1"/>
  <c r="D6" i="11"/>
  <c r="V6" i="11" s="1"/>
  <c r="B6" i="11"/>
  <c r="T6" i="11" s="1"/>
  <c r="F6" i="11"/>
  <c r="X6" i="11" s="1"/>
  <c r="G6" i="11"/>
  <c r="Y6" i="11" s="1"/>
  <c r="E5" i="11"/>
  <c r="W5" i="11" s="1"/>
  <c r="G5" i="11"/>
  <c r="Y5" i="11" s="1"/>
  <c r="F5" i="11"/>
  <c r="X5" i="11" s="1"/>
  <c r="D5" i="11"/>
  <c r="V5" i="11" s="1"/>
  <c r="C5" i="11"/>
  <c r="U5" i="11" s="1"/>
  <c r="B5" i="11"/>
  <c r="T5" i="11" s="1"/>
  <c r="G2" i="11"/>
  <c r="Y2" i="11" s="1"/>
  <c r="D2" i="11"/>
  <c r="E2" i="11"/>
  <c r="W2" i="11" s="1"/>
  <c r="K33" i="13"/>
  <c r="I2" i="11" s="1"/>
  <c r="B2" i="11" s="1"/>
  <c r="T2" i="11" s="1"/>
  <c r="L33" i="13"/>
  <c r="J2" i="11" s="1"/>
  <c r="C2" i="11" s="1"/>
  <c r="U2" i="11" s="1"/>
  <c r="F2" i="11"/>
  <c r="X2" i="11" s="1"/>
  <c r="E8" i="11"/>
  <c r="C8" i="11"/>
  <c r="U8" i="11" s="1"/>
  <c r="G8" i="11"/>
  <c r="Y8" i="11" s="1"/>
  <c r="F8" i="11"/>
  <c r="X8" i="11" s="1"/>
  <c r="D8" i="11"/>
  <c r="V8" i="11" s="1"/>
  <c r="B8" i="11"/>
  <c r="D4" i="11"/>
  <c r="V4" i="11" s="1"/>
  <c r="E4" i="11"/>
  <c r="W4" i="11" s="1"/>
  <c r="B4" i="11"/>
  <c r="T4" i="11" s="1"/>
  <c r="C4" i="11"/>
  <c r="U4" i="11" s="1"/>
  <c r="F4" i="11"/>
  <c r="X4" i="11" s="1"/>
  <c r="P23" i="3"/>
  <c r="N4" i="11" s="1"/>
  <c r="G4" i="11" s="1"/>
  <c r="Y4" i="11" s="1"/>
  <c r="E7" i="11"/>
  <c r="W7" i="11" s="1"/>
  <c r="C7" i="11"/>
  <c r="U7" i="11" s="1"/>
  <c r="G7" i="11"/>
  <c r="Y7" i="11" s="1"/>
  <c r="F7" i="11"/>
  <c r="X7" i="11" s="1"/>
  <c r="D7" i="11"/>
  <c r="V7" i="11" s="1"/>
  <c r="B7" i="11"/>
  <c r="T7" i="11" s="1"/>
  <c r="D3" i="11"/>
  <c r="V3" i="11" s="1"/>
  <c r="G3" i="11"/>
  <c r="Y3" i="11" s="1"/>
  <c r="C3" i="11"/>
  <c r="U3" i="11" s="1"/>
  <c r="E3" i="11"/>
  <c r="W3" i="11" s="1"/>
  <c r="K20" i="1"/>
  <c r="I3" i="11" s="1"/>
  <c r="B3" i="11" s="1"/>
  <c r="V2" i="11"/>
  <c r="G11" i="11" l="1"/>
  <c r="X11" i="11"/>
  <c r="M11" i="11" s="1"/>
  <c r="D11" i="11"/>
  <c r="C11" i="11"/>
  <c r="Y11" i="11"/>
  <c r="N11" i="11" s="1"/>
  <c r="V11" i="11"/>
  <c r="K11" i="11" s="1"/>
  <c r="U11" i="11"/>
  <c r="J11" i="11" s="1"/>
  <c r="F11" i="11"/>
  <c r="E11" i="11"/>
  <c r="W8" i="11"/>
  <c r="W11" i="11" s="1"/>
  <c r="L11" i="11" s="1"/>
  <c r="B11" i="11"/>
  <c r="T8" i="11"/>
  <c r="T3" i="11"/>
  <c r="T11" i="11" l="1"/>
  <c r="I11" i="11" s="1"/>
</calcChain>
</file>

<file path=xl/comments1.xml><?xml version="1.0" encoding="utf-8"?>
<comments xmlns="http://schemas.openxmlformats.org/spreadsheetml/2006/main">
  <authors>
    <author>fhma</author>
  </authors>
  <commentList>
    <comment ref="G49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Cisco et Microsoft</t>
        </r>
      </text>
    </comment>
    <comment ref="I49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Cisco &amp; Avaya</t>
        </r>
      </text>
    </comment>
  </commentList>
</comments>
</file>

<file path=xl/comments2.xml><?xml version="1.0" encoding="utf-8"?>
<comments xmlns="http://schemas.openxmlformats.org/spreadsheetml/2006/main">
  <authors>
    <author>fhma</author>
  </authors>
  <commentList>
    <comment ref="H25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Enrichissement</t>
        </r>
      </text>
    </comment>
    <comment ref="G27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Pas natif</t>
        </r>
      </text>
    </comment>
    <comment ref="G28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API et Module existant</t>
        </r>
      </text>
    </comment>
    <comment ref="H31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Avantage lié à la vue de service dans OM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A préciser pour chaque événement</t>
        </r>
      </text>
    </comment>
  </commentList>
</comments>
</file>

<file path=xl/comments3.xml><?xml version="1.0" encoding="utf-8"?>
<comments xmlns="http://schemas.openxmlformats.org/spreadsheetml/2006/main">
  <authors>
    <author>fhma</author>
  </authors>
  <commentList>
    <comment ref="G13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SSO possible</t>
        </r>
      </text>
    </comment>
    <comment ref="G14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Mapping possible
</t>
        </r>
      </text>
    </comment>
  </commentList>
</comments>
</file>

<file path=xl/comments4.xml><?xml version="1.0" encoding="utf-8"?>
<comments xmlns="http://schemas.openxmlformats.org/spreadsheetml/2006/main">
  <authors>
    <author>fhma</author>
  </authors>
  <commentList>
    <comment ref="G7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2 modes :
licences perpétuels
souscription (location)
Server Pack : 
serveurs, viertualiusation, ...
Serveur and Application Pack
+ Base de données, Serveur Appl, Messagerie
Par nombre d'instance d'OS
Ping Pack
juste ping
Advanced Network Pack
Ping/SNMP/Topologie/IPSLA =&gt; en nombre d'équipements
Stockage : 
En nbre de TB de l'environnement de stockage
Netflow :
Nbre d'équipement ou Netflow est activé</t>
        </r>
      </text>
    </comment>
  </commentList>
</comments>
</file>

<file path=xl/comments5.xml><?xml version="1.0" encoding="utf-8"?>
<comments xmlns="http://schemas.openxmlformats.org/spreadsheetml/2006/main">
  <authors>
    <author>fhma</author>
  </authors>
  <commentList>
    <comment ref="G13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Code d'erreur
Communauté + blog + support
</t>
        </r>
      </text>
    </comment>
  </commentList>
</comments>
</file>

<file path=xl/comments6.xml><?xml version="1.0" encoding="utf-8"?>
<comments xmlns="http://schemas.openxmlformats.org/spreadsheetml/2006/main">
  <authors>
    <author>fhma</author>
  </authors>
  <commentList>
    <comment ref="I7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OrionBestPractices fin p9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fhma:</t>
        </r>
        <r>
          <rPr>
            <sz val="8"/>
            <color indexed="81"/>
            <rFont val="Tahoma"/>
            <family val="2"/>
          </rPr>
          <t xml:space="preserve">
En général, 
2 versions majeures 8 et 8.5
2 versions mineures 8.1
par an</t>
        </r>
      </text>
    </comment>
  </commentList>
</comments>
</file>

<file path=xl/sharedStrings.xml><?xml version="1.0" encoding="utf-8"?>
<sst xmlns="http://schemas.openxmlformats.org/spreadsheetml/2006/main" count="716" uniqueCount="327">
  <si>
    <t>Architecture</t>
  </si>
  <si>
    <t>Poids *</t>
  </si>
  <si>
    <t>1 : Amène un +</t>
  </si>
  <si>
    <t>3 : Incontournable</t>
  </si>
  <si>
    <t>* 1 à 3</t>
  </si>
  <si>
    <t>** 1 à 5</t>
  </si>
  <si>
    <t>#Question</t>
  </si>
  <si>
    <t>N°</t>
  </si>
  <si>
    <t>Descriptif</t>
  </si>
  <si>
    <t>Commentaire</t>
  </si>
  <si>
    <t>Max</t>
  </si>
  <si>
    <t>Somme</t>
  </si>
  <si>
    <t>Moyenne</t>
  </si>
  <si>
    <t>Interface Graphique</t>
  </si>
  <si>
    <t>Exploitation</t>
  </si>
  <si>
    <t>Documentation</t>
  </si>
  <si>
    <t>Maintenance</t>
  </si>
  <si>
    <t>Domaines</t>
  </si>
  <si>
    <t>GUI</t>
  </si>
  <si>
    <t>Exploit</t>
  </si>
  <si>
    <t>Doc</t>
  </si>
  <si>
    <t>Note / 20</t>
  </si>
  <si>
    <t>Maint</t>
  </si>
  <si>
    <t>Poids Dom.</t>
  </si>
  <si>
    <t xml:space="preserve">Installation </t>
  </si>
  <si>
    <t>Sécurité</t>
  </si>
  <si>
    <t>Coûts</t>
  </si>
  <si>
    <t>Installation</t>
  </si>
  <si>
    <t>Aspects fonctionnels</t>
  </si>
  <si>
    <t>Possibilité de fonctionner sans agents</t>
  </si>
  <si>
    <t>Paramétrage de l'agent pour écouter les communications sur une seule carte dans le cas d'un système d'exploitation multicartes</t>
  </si>
  <si>
    <t>Possibilité d'avoir plusieurs environnements indépendants (mise au point, recette, production)</t>
  </si>
  <si>
    <t>Protocole de livraison des paramétrages d'un environnement à un autre</t>
  </si>
  <si>
    <t>Installations réalisables par commande en ligne</t>
  </si>
  <si>
    <t>Impact d'une montée de niveau logiciel (Version mineure/majeure)</t>
  </si>
  <si>
    <t>Impact d'une montée de niveau système (certification éditeur, aval de ce dernier avant montée de niveau, temps de validation éditeur, …)</t>
  </si>
  <si>
    <t>Impact d'une montée de niveau de la base de données (pour les logiciels fonctionnant avec une architecture de ce type)</t>
  </si>
  <si>
    <t>Capacités du client léger : exploitation / configuration de la supervision / administration de la solution</t>
  </si>
  <si>
    <t>Existence d'un client léger</t>
  </si>
  <si>
    <t>Existence d'un client lourd</t>
  </si>
  <si>
    <t>Accès à l'interface graphique selon les profils utilisateurs</t>
  </si>
  <si>
    <t>Gestion de l'authentification par un annuaire LDAP</t>
  </si>
  <si>
    <t>Possibilité de gérer les droits de la solution dans l'annuaire</t>
  </si>
  <si>
    <t>Existence d'une cartographie</t>
  </si>
  <si>
    <t>Techniques standards pour effectuer des surveillances (SNMP, Wbem, Ssh, Odbc, agent propriétaire, ...)</t>
  </si>
  <si>
    <t>Gestion de modèles de surveillance</t>
  </si>
  <si>
    <t>Capacité à prendre en compte l'ajout d'un nouveau système de fichiers sur un système d'exploitation</t>
  </si>
  <si>
    <t>Gestion native de la surveillance des processus et des services</t>
  </si>
  <si>
    <t>Mécanismes d'actions automatiques (correctrices ou diagnostics complémentaires)</t>
  </si>
  <si>
    <t>Capacité à faire de la supervision active</t>
  </si>
  <si>
    <t>Capacité à faire de la supervision passive</t>
  </si>
  <si>
    <t>Limitation de la fréquence à laquelle on peut effectuer une surveillance</t>
  </si>
  <si>
    <t>Possibilité de débrayer la surveillance (arrêt des collectes, arrêt des événements, des notifications,  plage de maintenance, ...)</t>
  </si>
  <si>
    <t>Indicateurs standards pour la surveillance des bases de données Oracle (standard, paramétrage, intégration de script, ...)</t>
  </si>
  <si>
    <t>Indicateurs standards pour la surveillance des bases de données DB2 (standard, paramétrage, intégration de script, ...)</t>
  </si>
  <si>
    <t>Indicateurs standards pour la surveillance des bases de données SQL Server (standard, paramétrage, intégration de script, ...)</t>
  </si>
  <si>
    <t>Indicateurs standards pour la surveillance des serveurs/services Exchange (standard, paramétrage, intégration de script, ...)</t>
  </si>
  <si>
    <t>Indicateurs standards pour la surveillance des serveurs/services Citrix (standard, paramétrage, intégration de script, ...)</t>
  </si>
  <si>
    <t>Possibilité de s'interfacer avec un outil de surveillance existant dans le sens où la solution serait vue comme fédératrice</t>
  </si>
  <si>
    <t>Suivi des indicateurs dans le temps de manière fixe sur des plages de temps déterminées</t>
  </si>
  <si>
    <t>Degré de finesse du suivi d'un indicateur dans le temps, en fonction des périodes choisies (heure, jour, semaine, mois, année)</t>
  </si>
  <si>
    <t>Surveillance des points de montage NFS</t>
  </si>
  <si>
    <t>Possibilité de suivre l'utilisation des ressources d'un processus ou d'un service (windows)</t>
  </si>
  <si>
    <t>Indicateurs standards pour la surveillance des équipements réseau HP</t>
  </si>
  <si>
    <t>Indicateurs standards pour la surveillance des équipements F5</t>
  </si>
  <si>
    <t>Indicateurs standards pour la surveillance des architectures VmWare</t>
  </si>
  <si>
    <t>Indicateurs standards pour la surveillance de la ToIP</t>
  </si>
  <si>
    <t>Traitement des données matricielles (netflow, sflow, ipfix, ...)</t>
  </si>
  <si>
    <t>Suivi du paramétrage de QoS réseau</t>
  </si>
  <si>
    <t>Possibilité de corréler 2 événements</t>
  </si>
  <si>
    <t>Possibilité de masquage / dépendance</t>
  </si>
  <si>
    <t>Surveillance des équipements de stockage SAN EMC Celerra NS480, VNX, NS960 ou encore les switchs Brocade</t>
  </si>
  <si>
    <t>Méthode de présentation de l'importance d'un événement (sévérité, priorité, gestion d'impact, ...)</t>
  </si>
  <si>
    <t>Possibilité de prise en charge d'un événement</t>
  </si>
  <si>
    <t xml:space="preserve">Possibilité de supprimer un événement </t>
  </si>
  <si>
    <t>Possibilité de commenter un événement</t>
  </si>
  <si>
    <t>Existence de fonctions d'auto-découverte</t>
  </si>
  <si>
    <t>Collecte d'indicateur sans pour autant déclencher d'événement</t>
  </si>
  <si>
    <t>Gestion de sévérités différentes en fonction de plusieurs seuils pour le contrôle d'un même indicateur</t>
  </si>
  <si>
    <t>Gestion native du retour à une situation normale</t>
  </si>
  <si>
    <t>Possibilité de différencier le seuil de retour à la normale du seuil de génération de l'événement</t>
  </si>
  <si>
    <t>Possibilité d'interfaçage avec un référentiel unique de déclaration (CMDB)</t>
  </si>
  <si>
    <t>Possibilité de modification massive (chgt de mdp, ajout de description commune, acquittement, ...)</t>
  </si>
  <si>
    <t>Existence de fonctions de recherche</t>
  </si>
  <si>
    <t>Existence de fonctions de filtrage / indicateur visuel en cas d'application d'un filtre</t>
  </si>
  <si>
    <t>Existence d'indicateurs de suivi du nombre d'événements, changement d'état, ..., par catégorie de surveillance</t>
  </si>
  <si>
    <t>Compte de soumission pour le fonctionnement des processus de la solution / des agents</t>
  </si>
  <si>
    <t>Méthode de stockage de l'identité d'un utilisateur / d'un compte de soumission spécifique</t>
  </si>
  <si>
    <t>Possibilité de diffusion des alertes de sécurité liée à la solution</t>
  </si>
  <si>
    <t>Possibilité de crypter la communication entre les composants de l'architecture</t>
  </si>
  <si>
    <t>Possibilité d'activer l'audit des changements de paramétrage, des accès, …</t>
  </si>
  <si>
    <t>Limite de l'utilisation de l'offre logicielle libre</t>
  </si>
  <si>
    <t>Existence d'une offre prépackagée / coût</t>
  </si>
  <si>
    <t>Importance de la charge pour un projet de surveillance de 200 machines, avec architecture sécurisée (une DMZ), avec 10 modèles de surveillance (3 OS, 2 SGBD, 2 serveurs Web, 3 types d'équipements réseaux)</t>
  </si>
  <si>
    <t>Coût associé à une montée de version majeure</t>
  </si>
  <si>
    <t>Coût du service de support</t>
  </si>
  <si>
    <t>Existence d'une offre de formation / coût</t>
  </si>
  <si>
    <t>Importance de la charge pour le maintien en condition opérationnelle de l'infrastructure de la solution de surveillance</t>
  </si>
  <si>
    <t>Documentation du schéma de la base de données (dans le cas de la présence d'une base de données / livestatus pour un socle type Nagios)</t>
  </si>
  <si>
    <t>Existence d'une documentation orientée utilisateur</t>
  </si>
  <si>
    <t>Existence d'une documentation orientée administrateur</t>
  </si>
  <si>
    <t>Existence d'une documentation contenant les commandes en lignes</t>
  </si>
  <si>
    <t>Existence d'une documentation propre à l'utilisation de la base installée (install, exploit, admin)</t>
  </si>
  <si>
    <t>Existence d'une documentation définissant les concepts du produit</t>
  </si>
  <si>
    <t>Existence d'une documentation d'installation du produit</t>
  </si>
  <si>
    <t>Existence d'une communauté active</t>
  </si>
  <si>
    <t>Automatisation des taches de maintenance au travers du produit</t>
  </si>
  <si>
    <t>Existence de mécanismes de sauvegarde et de restauration de la solution (sauvegarde et restauration à partir du disque)</t>
  </si>
  <si>
    <t>Existence d'une offre de support proposée avec la solution logicielle</t>
  </si>
  <si>
    <t>Contenu de l'offre de maintenance</t>
  </si>
  <si>
    <t xml:space="preserve">Existence d'engagements sur la prise en compte des incidents / la résolution des incidents </t>
  </si>
  <si>
    <t>Fréquence des mises à jour majeures, mineures</t>
  </si>
  <si>
    <t>Existence de correctifs de déblocage (HotFix)</t>
  </si>
  <si>
    <t>Nombre de personnes assurant le support de la solution</t>
  </si>
  <si>
    <t>Pérennité de la solution / de la société</t>
  </si>
  <si>
    <t>Méthode de stockage des données (configuration/événement/performance/autres)</t>
  </si>
  <si>
    <t>Existence d'abaques pour l'évaluation de la volumétrie du stockage des données événementiels et des indicateurs</t>
  </si>
  <si>
    <t>Gestion par la solution d'un référentiel permettant la centralisation du développement des scripts/exécutables pour les surveillances des systèmes hétérogènes</t>
  </si>
  <si>
    <t>L'architecture doit être multi-tiers ou amener la capacité à scinder les fonctions de gestion des données, de l'application et du frontal Web.</t>
  </si>
  <si>
    <t>Les données (configuration/événement/performance/autres)doivent idéalement être différenciées dans le stockage de la solution. Si l'on est en base, il faut voir si des tables sont dédiées.</t>
  </si>
  <si>
    <t>Analyse des abaques de chaque solution.</t>
  </si>
  <si>
    <t>Analyse des ports de communication entre les différents composants de la solution (en dehors des ports nécessaires à la surveillance à distance).</t>
  </si>
  <si>
    <t>Liste des ports de communication utilisés sur le réseau entre les composants de l'architecture du produit.</t>
  </si>
  <si>
    <t>Centralisation de la gestion de la configuration des surveillances.</t>
  </si>
  <si>
    <t>Capacité à paramétrer les numéros des ports quelque soit le module concerné.</t>
  </si>
  <si>
    <t>Mécanisme de secours</t>
  </si>
  <si>
    <t>Gestion de la haute-disponibilité directement par l'application ou faut-il d'autres moyens ?</t>
  </si>
  <si>
    <t xml:space="preserve">Peut-on sans remettre en cause les paramétrages ajouter un nouveau module permettant de répartir la charge de surveillance des équipements ? </t>
  </si>
  <si>
    <r>
      <t xml:space="preserve">Traitement de la répartition de la </t>
    </r>
    <r>
      <rPr>
        <u/>
        <sz val="10"/>
        <color indexed="8"/>
        <rFont val="Verdana"/>
        <family val="2"/>
      </rPr>
      <t>charge</t>
    </r>
    <r>
      <rPr>
        <sz val="10"/>
        <color indexed="8"/>
        <rFont val="Verdana"/>
        <family val="2"/>
      </rPr>
      <t xml:space="preserve"> de surveillance.</t>
    </r>
  </si>
  <si>
    <t>Traitement de la répartition de l'exploitation de la surveillance.</t>
  </si>
  <si>
    <t>Dans le concept de l'architecture, c'est la possibilité d'avoir un module sur une entité qui permet d'effectuer l'exploitation localement à cette entité sans toute fois remettre en question l'administration centralisée.</t>
  </si>
  <si>
    <t>Limitation de la bande passante, protocole fiable, ...</t>
  </si>
  <si>
    <t>Possibilité de configurer les notifications dans un pays ou une entité (exemple : Guyane).</t>
  </si>
  <si>
    <t>Lien entre architecture de surveillance et architecture de messagerie.</t>
  </si>
  <si>
    <t>Architecture de surveillance avec agent.</t>
  </si>
  <si>
    <t>Architecture de surveillance sans agent.</t>
  </si>
  <si>
    <t>Possibilité de fonctionner avec agents (autres que SNMP)</t>
  </si>
  <si>
    <t>Distribution des scripts/exécutables pour la surveillance.</t>
  </si>
  <si>
    <t>Possibilité de déployer les scripts nécessaires à la surveillance sur les agents, sur les serveurs relais.</t>
  </si>
  <si>
    <t>Installation d'un agent en écoute sur une seule carte réseau.</t>
  </si>
  <si>
    <t>Gestion des environnements</t>
  </si>
  <si>
    <t>Capacité d'exportation et d'importation des paramétrages.</t>
  </si>
  <si>
    <t>Industrialisation des installations</t>
  </si>
  <si>
    <t>Système d'exploitation supporté</t>
  </si>
  <si>
    <t>Diversité des systèmes d'exploitation pouvant héberger la solution et compatibilité avec le socle du CNES</t>
  </si>
  <si>
    <t>Evaluation d'impact d'une montée de niveau sur le service rendu (temps d'interruption, gestion des environnements, ...)</t>
  </si>
  <si>
    <t>Capacité à faire évoluer la solution composant par composant.</t>
  </si>
  <si>
    <t>Evaluation d'impact sur la solution de supervision d'une montée de niveau du système d'exploitation hébergeant la solution.</t>
  </si>
  <si>
    <t>Evaluation d'impact sur la solution de supervision d'une montée de niveau de la base de données hébergeant la solution.</t>
  </si>
  <si>
    <t>Plus de finesse entre rôle (administrateur, concepteur, exploitant) ayant donc des droits fonctionnels et profil (visibilité sur tel ou tel périmètre).</t>
  </si>
  <si>
    <t>Gestion des rôles et profils</t>
  </si>
  <si>
    <t xml:space="preserve">Personnalisation des menus </t>
  </si>
  <si>
    <t>Personnalisation ou inactivation de la barre de menu et des menus contextuels en fonction de l'utilisateur authentifié</t>
  </si>
  <si>
    <t>Facilité de passage d'une fonction à une autre, d'un module à l'autre, fluidité et intuitivité de l'interface.</t>
  </si>
  <si>
    <t>Gestion de la cartographie</t>
  </si>
  <si>
    <t>Ergonomie proposée pour l'affichage du suivi des indicateurs dans le temps</t>
  </si>
  <si>
    <t>Capacité à présenter des informations dans plusieurs fenêtres, écrans, ...</t>
  </si>
  <si>
    <t>Consultation de l'historique des événements et ses capacités de filtrage.</t>
  </si>
  <si>
    <t>Type de protocoles à disposition pour effectuer des surveillances.</t>
  </si>
  <si>
    <t>Standard de surveillance des ressources d'un équipement.</t>
  </si>
  <si>
    <t xml:space="preserve">Gestion native de la surveillances des ressources d'un équipement (activité processeurs, mémoire, pagination, disques et cartes réseaux) </t>
  </si>
  <si>
    <t>Gestion native de la surveillance de la capacité des systèmes de fichiers (taux d'occupation, nbre de Mo restant, combinaison des 2).</t>
  </si>
  <si>
    <t>Standard de surveillance des capacités des systèmes de fichiers.</t>
  </si>
  <si>
    <t>Gestion des spécificités sans remettre en cause le modèle</t>
  </si>
  <si>
    <t>Industrialisation, automatisation de la prise en compte d'un nouvel équipement.</t>
  </si>
  <si>
    <t>Standard de surveillance des services (Windows) et processus.</t>
  </si>
  <si>
    <t>Standard de surveillance de la taille d'un fichier ou du nombre de fichiers dans un répertoire.</t>
  </si>
  <si>
    <t>Standard de surveillance du contenu des journaux.</t>
  </si>
  <si>
    <t>Standard de surveillance de la disponibilité d'un équipement.</t>
  </si>
  <si>
    <t>Différentes techniques de surveillances de disponibilité d'un équipement, distinction disponibilité, injoignabilité, ...</t>
  </si>
  <si>
    <t>Standard de surveillance des ressources matérielles des équipements.</t>
  </si>
  <si>
    <t>Possibilité de surveiller les ressources matérielles des équipements (ex. : alimentation redondée, ventilateur, température processeur, ...)</t>
  </si>
  <si>
    <t>Ouverture pour faire appel à un script quelconque pour la réalisation d'une surveillance.</t>
  </si>
  <si>
    <t>Possibilité de faire appel à un script quelconque pour réaliser une surveillance, une sonde typée Nagios, ...</t>
  </si>
  <si>
    <t>Distinction des environnements pour les cibles surveillés.</t>
  </si>
  <si>
    <t>Dans le cas où l'on utilise un environnement unique de surveillance pour l'ensemble des environnements du SI (production, recette, intégration, développement, ...), comment peut-on distinguer ces environnements dans les modèles de surveillance (impact moins fort, sévérité plus atténuée, ...)</t>
  </si>
  <si>
    <t>Supervision active</t>
  </si>
  <si>
    <t>Supervision passive</t>
  </si>
  <si>
    <t>Fréquence de surveillance</t>
  </si>
  <si>
    <t>Gestion des maintenances et arrêt prévisionnel.</t>
  </si>
  <si>
    <t>Indicateurs standards de surveillance de IIS (standard, paramétrage, intégration de script, ...)</t>
  </si>
  <si>
    <t>Indicateurs standards de WAS (standard, paramétrage, intégration de script, ...)</t>
  </si>
  <si>
    <t>Indicateurs standards des serveurs Java (standard, paramétrage, intégration de script, ...)</t>
  </si>
  <si>
    <t>Indicateurs standards des serveurs Tomcat (standard, paramétrage, intégration de script, ...)</t>
  </si>
  <si>
    <t>Indicateurs standards des serveurs Active Directory (standard, paramétrage, intégration de script, ...)</t>
  </si>
  <si>
    <t>Indicateurs standards des serveurs WMQ Series (standard, paramétrage, intégration de script, ...)</t>
  </si>
  <si>
    <t>Consulter en pseudo temps réel l'évolution d'un indicateur.</t>
  </si>
  <si>
    <t>Suivi des indicateurs dans le temps de manière dynamique.</t>
  </si>
  <si>
    <t>Capacité à fédérer des événements en provenance d'autres outils de supervision.</t>
  </si>
  <si>
    <t>Profondeur de l'historique des tendances.</t>
  </si>
  <si>
    <t>Gestion unitaire, globale ?</t>
  </si>
  <si>
    <t>Degré de finesse de l'historique des indicateurs</t>
  </si>
  <si>
    <t>Standard de supervision pour un point de montage NFS</t>
  </si>
  <si>
    <t>Surveillance détaillée des consommations de ressource par un service (Windows) ou processus.</t>
  </si>
  <si>
    <t>Couverture globale du catalogue de supervision et capacité d'évolutivité du catalogue.</t>
  </si>
  <si>
    <t>Obtention des surveillances opérationnelles en cours.</t>
  </si>
  <si>
    <t>Facilité d'obtention de la liste des surveillances opérationnelles (référentiel de ce qui est surveillé).</t>
  </si>
  <si>
    <t>Indicateurs standards de supervision des équipements réseau Cisco (hors Nexus).</t>
  </si>
  <si>
    <t>Existence d'indicateurs plus évolués (formule de calcul, agrégation)</t>
  </si>
  <si>
    <t>cdc</t>
  </si>
  <si>
    <t>Mécanisme de notification existant</t>
  </si>
  <si>
    <t>Existence en standard dans la solution de mécanismes de notification autre que la console d'exploitation (messagerie, messagerie instantanée, ...)</t>
  </si>
  <si>
    <t>Gestion des sévérités, priorités, impacts.</t>
  </si>
  <si>
    <t>Gestion des événements et prise en charge</t>
  </si>
  <si>
    <t>Gestion des événements (suppression)</t>
  </si>
  <si>
    <t>Interface avec la gestion d'incidents</t>
  </si>
  <si>
    <t>Commenter un événement</t>
  </si>
  <si>
    <t>Gestion des configurations par commande en ligne</t>
  </si>
  <si>
    <t>Existence de fonctions d'auto-découverte avancées</t>
  </si>
  <si>
    <t>ex : découverte des systèmes de fichiers ou encore des services Windows déclarés en automatique</t>
  </si>
  <si>
    <t>Gestion de la sauvegarde des données de surveillance et impact lors de la réalisation de la sauvegarde.</t>
  </si>
  <si>
    <t>Sauvegarde du logiciel intégrée dans le fonctionnement. Celle-ci engendre t elle une interruption de service ou des perturbations du service ?</t>
  </si>
  <si>
    <t>Association d'un événement à une consigne</t>
  </si>
  <si>
    <t>Ajout de consignes sur les événements réceptionnés pour enrichir le suivi d'exploitation, consigne externalisée obligatoirement.</t>
  </si>
  <si>
    <t>Définition et suivi d'objectifs (SLO/SLA) avec plages de services rendus.</t>
  </si>
  <si>
    <t>Séparation de la collecte d'indicateur des conditions de déclenchement d'un événement.</t>
  </si>
  <si>
    <t>Gestion des déclenchements intempestifs.</t>
  </si>
  <si>
    <t>Possibilité d'éviter le déclenchement intempestif d'un événement sur simple pic (Ex. : déclenchement sur 3 occurrences en moins d'une heure)</t>
  </si>
  <si>
    <t>Gestion d'accentuation de la sévérité en fonction de seuil pour un même contrôle.</t>
  </si>
  <si>
    <t>Gestion du retour à une situation normale.</t>
  </si>
  <si>
    <t>Différentiation entre le seuil de déclenchement d'un événement et le seuil de retour à une situation normale.</t>
  </si>
  <si>
    <t>Ouverture et interface avec un référentiel unique de déclaration (CMDB) ?</t>
  </si>
  <si>
    <t>Gestion des modifications de masse.</t>
  </si>
  <si>
    <t>Gestion de construction (semi-)automatique des cartographies.</t>
  </si>
  <si>
    <t>Mécanismes d'aide à la construction des  cartographies</t>
  </si>
  <si>
    <t>Gestion des services rendus et/ou d'une vue "métier".</t>
  </si>
  <si>
    <t>Gestion des recherches</t>
  </si>
  <si>
    <t xml:space="preserve">Gestion des filtres </t>
  </si>
  <si>
    <t>Gestion des rapports</t>
  </si>
  <si>
    <t>Gestion du compte de soumission des processus/services de la supervision.</t>
  </si>
  <si>
    <t>Gestion des comptes de soumission spécifiques pour telle ou telle surveillance.</t>
  </si>
  <si>
    <t xml:space="preserve">Possibilité d'utiliser, pour une surveillance spécifique, un compte de soumission différent du compte avec lequel tourne l'agent. Exemple : surveillance d'une base de données avec un compte dédié. </t>
  </si>
  <si>
    <t>Stockage de l'identité d'un compte de soumission, d'un nom de communauté, ...</t>
  </si>
  <si>
    <t>Gestion des alertes de sécurité</t>
  </si>
  <si>
    <t>Gestion du cryptage des communications</t>
  </si>
  <si>
    <t>Gestion des audits internes</t>
  </si>
  <si>
    <t>Identification des types de licences de la solution</t>
  </si>
  <si>
    <t>Analyse des limites de l'offre logicielle libre</t>
  </si>
  <si>
    <t>Analyse et coût des offres prépackagées</t>
  </si>
  <si>
    <t>Découpage par module des offres logicielles</t>
  </si>
  <si>
    <t>Type de licence associée au logiciel et type de tarification.</t>
  </si>
  <si>
    <t>Estimation de charge faut-il pour un projet de surveillance de 200 machines, avec architecture sécurisée (une DMZ), avec 10 modèles de surveillance (3 OS, 2 SGBD, 2 serveurs Web, 3 types d'équipements réseaux)</t>
  </si>
  <si>
    <t>Estimation de charge pour le maintien en condition opérationnelle de l'infrastructure de la solution de surveillance</t>
  </si>
  <si>
    <t>Coût et temps de l'offre de formation</t>
  </si>
  <si>
    <t>Analyse des coûts associés à une montée de version majeure</t>
  </si>
  <si>
    <t>Documentation accompagnant la solution</t>
  </si>
  <si>
    <t>Existence d'une documentation en anglais, en français, ...</t>
  </si>
  <si>
    <t>Format de la documentation.</t>
  </si>
  <si>
    <t>Volume de téléchargement de la solution sur les dernières années (2012/13) ou nombre de licence vendu sur ces mêmes années.</t>
  </si>
  <si>
    <t>Existence et description des tâches de maintenance.</t>
  </si>
  <si>
    <t xml:space="preserve">Autolimitation de l'impact des ressources sur les cibles supervisés. </t>
  </si>
  <si>
    <t>Impacts sur les ressources de la cible / autolimitation /ressources consommées</t>
  </si>
  <si>
    <t>Mécanisme de haute-disponibilité</t>
  </si>
  <si>
    <t>Possibilité de gérer un mécanisme de secours. Est-ce natif avec des procédures décrites.</t>
  </si>
  <si>
    <t>Adaptabilité de la surveillance à des contraintes réseau WAN</t>
  </si>
  <si>
    <t>Adaptabilité de la surveillance à des contraintes réseau DMZ</t>
  </si>
  <si>
    <t>Industrialisation de l'installation d'un composant de l'architecture/ temps nécessaire à l'installation d'un composant</t>
  </si>
  <si>
    <t>Montée de niveau des composants de l'architecture indépendamment des autres (ex : monter du frontal Web, des agents, ...) / logique de montée de niveau en regard de l'architecture</t>
  </si>
  <si>
    <t>Affichage multifenêtres / multi-onglets</t>
  </si>
  <si>
    <t>Traitement des données de type IPSLA</t>
  </si>
  <si>
    <t>Compatibilité avec les sondes de la communauté Nagios</t>
  </si>
  <si>
    <t>Existence ou possibilité de gestion de vue de service ou métier</t>
  </si>
  <si>
    <t>Indicateurs d'autocontrôles</t>
  </si>
  <si>
    <t xml:space="preserve">Existence de modules payants sur l'offre / coûts, et plus globalement la manière dont sont tarifés les modules complémentaires. </t>
  </si>
  <si>
    <t>Existence d'une documentation électronique et son format, sa facilité a être partagée.</t>
  </si>
  <si>
    <t>Existence d'une documentation contenant les codes d'erreurs les plus communs et les méthodes de résolution</t>
  </si>
  <si>
    <t>Zabbix **</t>
  </si>
  <si>
    <t>Solarwinds **</t>
  </si>
  <si>
    <t>BSM **</t>
  </si>
  <si>
    <t>Nimsoft **</t>
  </si>
  <si>
    <t>EON **</t>
  </si>
  <si>
    <t xml:space="preserve"> Shinken **</t>
  </si>
  <si>
    <t>ZabRes</t>
  </si>
  <si>
    <t>ShiRes</t>
  </si>
  <si>
    <t>NimRes</t>
  </si>
  <si>
    <t>BsmRes</t>
  </si>
  <si>
    <t>SolRes</t>
  </si>
  <si>
    <t>EonRes</t>
  </si>
  <si>
    <t>Moy/20 Shi</t>
  </si>
  <si>
    <t>Moy/20 Zab</t>
  </si>
  <si>
    <t>Moy/20 Nim</t>
  </si>
  <si>
    <t>Moy/20 Bsm</t>
  </si>
  <si>
    <t>Moy/20 Sol</t>
  </si>
  <si>
    <t>Moy/20 Eon</t>
  </si>
  <si>
    <t>Zabbix</t>
  </si>
  <si>
    <t>Shinken</t>
  </si>
  <si>
    <t>Nimsoft</t>
  </si>
  <si>
    <t>BSM</t>
  </si>
  <si>
    <t>SolarWinds</t>
  </si>
  <si>
    <t>EON</t>
  </si>
  <si>
    <t>Nbr de questions</t>
  </si>
  <si>
    <t>Pts Zab</t>
  </si>
  <si>
    <t>Pts Shi</t>
  </si>
  <si>
    <t>Pts Nim</t>
  </si>
  <si>
    <t>Pts Bsm</t>
  </si>
  <si>
    <t>Pts Sol</t>
  </si>
  <si>
    <t>Pts Eon</t>
  </si>
  <si>
    <t>Diversité des bases de données supportées</t>
  </si>
  <si>
    <t>Capacité de customisation des IHMs</t>
  </si>
  <si>
    <t>Coût d'une migration / transition d'une solution vers une autre</t>
  </si>
  <si>
    <t>2 : Important</t>
  </si>
  <si>
    <t>1</t>
  </si>
  <si>
    <t>Critère à 1 côté système</t>
  </si>
  <si>
    <t>Socle CNES, avec en priorité pas SQL Server ni Oracle, privilégié Postgres, MySQL</t>
  </si>
  <si>
    <t>Mécanisme permettant d'envisager une interface avec la gestion d'incident CA SDM</t>
  </si>
  <si>
    <t>Possibilité de création de rapports (gestion des tendances)</t>
  </si>
  <si>
    <t>Gestion d'un critère de création semi-automatique de création</t>
  </si>
  <si>
    <t>Mécanisme automatique permettant d'envisager une interface avec la gestion d'incident CA SDM</t>
  </si>
  <si>
    <t>Capacité de synchronisation des états entre l'incident et l'événement.</t>
  </si>
  <si>
    <t>Interface bi-directionnelle</t>
  </si>
  <si>
    <t>Gestion des requêtes communes des indicateurs pour la surveillance et le suivi dans le temps</t>
  </si>
  <si>
    <t>Eviter le double "polling"</t>
  </si>
  <si>
    <t>Capacité à récupérer une série d'indicateurs en une requête</t>
  </si>
  <si>
    <t>Exemple : capacité de la solution à par exemple effectuer un "get-bulk" ou à récupérer et traiter un ensemble d'indicateurs en une seule opération.</t>
  </si>
  <si>
    <t>Découverte classique pour l'alimentation automatique des déclarations des cibles supervisées.</t>
  </si>
  <si>
    <t>Capacité à détecter les changements d'états intempestifs (bagotement).</t>
  </si>
  <si>
    <t>La solution fournit-elle des moyens de suivre des indicateurs de performance ?</t>
  </si>
  <si>
    <t>Simple ping, requête simple (http, tcp, ...), requête un peu plus évoluée (dns, dhcp, sql/odbc, ...), scénario applicatifs http/https, scénario applicatifs client lourd</t>
  </si>
  <si>
    <t>La solution permet-elle d'effectuer des projections à partir des données historisées (Capacity Planning) ?</t>
  </si>
  <si>
    <t>Simuler l'augmentation d'un système de fichier et l'échéance de sa prévisionnelle saturation.</t>
  </si>
  <si>
    <t>BSM, notamment le module Omi, ne peut scinder la partie frontal Web de la partie applicative.</t>
  </si>
  <si>
    <t>Juste pour la surveillance active, sachant que la passive dépend des sources d'envoi.</t>
  </si>
  <si>
    <t xml:space="preserve">Architecture de la solution adaptable à des contraintes réseau de type DMZ. </t>
  </si>
  <si>
    <t>La note maximale (5) correspond au fait qu'il n'existe pas de client lourd</t>
  </si>
  <si>
    <t>Globalement, les socles Nagios sont pas top sur la facilité de gestion des profils. C'est renforcé côté EON, même si le portail atténue bien le phénomène.</t>
  </si>
  <si>
    <t>En regard au produit propriétaire, c'est leur dynamique 2014 !</t>
  </si>
  <si>
    <t>Capacité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</si>
</sst>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0"/>
      <name val="Arial"/>
    </font>
    <font>
      <b/>
      <i/>
      <sz val="14"/>
      <color indexed="42"/>
      <name val="Palatino"/>
      <family val="1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8"/>
      <color indexed="10"/>
      <name val="Verdana"/>
      <family val="2"/>
    </font>
    <font>
      <sz val="10"/>
      <color indexed="8"/>
      <name val="Verdana"/>
      <family val="2"/>
    </font>
    <font>
      <b/>
      <i/>
      <sz val="10"/>
      <color indexed="9"/>
      <name val="Verdana"/>
      <family val="2"/>
    </font>
    <font>
      <b/>
      <i/>
      <sz val="14"/>
      <name val="Verdana"/>
      <family val="2"/>
    </font>
    <font>
      <b/>
      <i/>
      <sz val="10"/>
      <color indexed="8"/>
      <name val="Verdana"/>
      <family val="2"/>
    </font>
    <font>
      <sz val="10"/>
      <name val="Arial"/>
      <family val="2"/>
    </font>
    <font>
      <u/>
      <sz val="10"/>
      <color indexed="8"/>
      <name val="Verdana"/>
      <family val="2"/>
    </font>
    <font>
      <b/>
      <sz val="10"/>
      <name val="Verdana"/>
      <family val="2"/>
    </font>
    <font>
      <strike/>
      <sz val="10"/>
      <name val="Cambria"/>
      <family val="1"/>
    </font>
    <font>
      <sz val="10"/>
      <color indexed="8"/>
      <name val="Cambria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90">
        <stop position="0">
          <color theme="0"/>
        </stop>
        <stop position="1">
          <color theme="4" tint="0.80001220740379042"/>
        </stop>
      </gradientFill>
    </fill>
    <fill>
      <patternFill patternType="solid">
        <fgColor rgb="FF0F959C"/>
        <bgColor indexed="64"/>
      </patternFill>
    </fill>
    <fill>
      <gradientFill degree="90">
        <stop position="0">
          <color theme="0"/>
        </stop>
        <stop position="1">
          <color rgb="FF8B6B90"/>
        </stop>
      </gradient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/>
  </cellStyleXfs>
  <cellXfs count="66">
    <xf numFmtId="0" fontId="0" fillId="0" borderId="0" xfId="0"/>
    <xf numFmtId="0" fontId="0" fillId="0" borderId="0" xfId="0" applyProtection="1"/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Fill="1" applyBorder="1" applyAlignment="1">
      <alignment horizontal="left"/>
    </xf>
    <xf numFmtId="0" fontId="5" fillId="0" borderId="0" xfId="0" applyFont="1"/>
    <xf numFmtId="0" fontId="6" fillId="0" borderId="0" xfId="0" applyFont="1" applyProtection="1">
      <protection hidden="1"/>
    </xf>
    <xf numFmtId="0" fontId="6" fillId="0" borderId="0" xfId="0" applyFont="1" applyProtection="1"/>
    <xf numFmtId="0" fontId="5" fillId="0" borderId="0" xfId="0" applyFont="1" applyProtection="1"/>
    <xf numFmtId="20" fontId="7" fillId="0" borderId="0" xfId="0" applyNumberFormat="1" applyFont="1" applyProtection="1"/>
    <xf numFmtId="0" fontId="7" fillId="0" borderId="0" xfId="0" applyFont="1" applyProtection="1"/>
    <xf numFmtId="0" fontId="5" fillId="0" borderId="0" xfId="0" applyFont="1" applyBorder="1" applyAlignment="1">
      <alignment horizontal="left"/>
    </xf>
    <xf numFmtId="0" fontId="5" fillId="0" borderId="0" xfId="0" applyFont="1" applyBorder="1"/>
    <xf numFmtId="0" fontId="8" fillId="0" borderId="0" xfId="0" applyFont="1"/>
    <xf numFmtId="0" fontId="8" fillId="0" borderId="0" xfId="0" applyFont="1" applyFill="1" applyBorder="1" applyAlignment="1">
      <alignment vertical="top" wrapText="1"/>
    </xf>
    <xf numFmtId="4" fontId="5" fillId="2" borderId="5" xfId="0" applyNumberFormat="1" applyFont="1" applyFill="1" applyBorder="1"/>
    <xf numFmtId="2" fontId="8" fillId="2" borderId="6" xfId="0" applyNumberFormat="1" applyFont="1" applyFill="1" applyBorder="1" applyAlignment="1">
      <alignment horizontal="left"/>
    </xf>
    <xf numFmtId="2" fontId="8" fillId="2" borderId="7" xfId="0" applyNumberFormat="1" applyFont="1" applyFill="1" applyBorder="1" applyAlignment="1">
      <alignment horizontal="left"/>
    </xf>
    <xf numFmtId="2" fontId="8" fillId="2" borderId="1" xfId="0" applyNumberFormat="1" applyFont="1" applyFill="1" applyBorder="1" applyAlignment="1">
      <alignment horizontal="left"/>
    </xf>
    <xf numFmtId="2" fontId="8" fillId="2" borderId="8" xfId="0" applyNumberFormat="1" applyFont="1" applyFill="1" applyBorder="1" applyAlignment="1">
      <alignment horizontal="left"/>
    </xf>
    <xf numFmtId="0" fontId="11" fillId="2" borderId="1" xfId="0" applyFont="1" applyFill="1" applyBorder="1" applyAlignment="1">
      <alignment horizontal="left"/>
    </xf>
    <xf numFmtId="0" fontId="5" fillId="2" borderId="0" xfId="0" applyFont="1" applyFill="1"/>
    <xf numFmtId="2" fontId="5" fillId="2" borderId="0" xfId="0" applyNumberFormat="1" applyFont="1" applyFill="1"/>
    <xf numFmtId="0" fontId="1" fillId="0" borderId="0" xfId="0" applyFont="1" applyFill="1" applyAlignment="1">
      <alignment horizontal="center"/>
    </xf>
    <xf numFmtId="0" fontId="12" fillId="0" borderId="0" xfId="0" applyFont="1" applyBorder="1"/>
    <xf numFmtId="0" fontId="8" fillId="3" borderId="1" xfId="1" applyFont="1" applyFill="1" applyBorder="1" applyAlignment="1" applyProtection="1">
      <alignment horizontal="center" vertical="center" wrapText="1"/>
    </xf>
    <xf numFmtId="0" fontId="8" fillId="4" borderId="1" xfId="1" applyFont="1" applyFill="1" applyBorder="1" applyAlignment="1" applyProtection="1">
      <alignment horizontal="center" vertical="center" wrapText="1"/>
    </xf>
    <xf numFmtId="0" fontId="8" fillId="4" borderId="1" xfId="1" applyFont="1" applyFill="1" applyBorder="1" applyAlignment="1" applyProtection="1">
      <alignment horizontal="center" vertical="center" wrapText="1"/>
    </xf>
    <xf numFmtId="0" fontId="8" fillId="3" borderId="1" xfId="1" applyFont="1" applyFill="1" applyBorder="1" applyAlignment="1" applyProtection="1">
      <alignment horizontal="center" vertical="center" wrapText="1"/>
    </xf>
    <xf numFmtId="0" fontId="8" fillId="3" borderId="1" xfId="1" applyFont="1" applyFill="1" applyBorder="1" applyAlignment="1" applyProtection="1">
      <alignment horizontal="center" vertical="center" wrapText="1"/>
    </xf>
    <xf numFmtId="0" fontId="8" fillId="3" borderId="1" xfId="1" quotePrefix="1" applyFont="1" applyFill="1" applyBorder="1" applyAlignment="1" applyProtection="1">
      <alignment horizontal="center" vertical="center" wrapText="1"/>
    </xf>
    <xf numFmtId="0" fontId="8" fillId="3" borderId="1" xfId="1" applyFont="1" applyFill="1" applyBorder="1" applyAlignment="1" applyProtection="1">
      <alignment horizontal="center" vertical="center" wrapText="1"/>
    </xf>
    <xf numFmtId="0" fontId="8" fillId="3" borderId="1" xfId="1" applyFont="1" applyFill="1" applyBorder="1" applyAlignment="1" applyProtection="1">
      <alignment horizontal="center" vertical="center" wrapText="1"/>
    </xf>
    <xf numFmtId="0" fontId="11" fillId="2" borderId="6" xfId="1" applyFont="1" applyFill="1" applyBorder="1" applyAlignment="1">
      <alignment horizontal="left"/>
    </xf>
    <xf numFmtId="0" fontId="11" fillId="2" borderId="1" xfId="1" applyFont="1" applyFill="1" applyBorder="1" applyAlignment="1">
      <alignment horizontal="left"/>
    </xf>
    <xf numFmtId="0" fontId="8" fillId="3" borderId="1" xfId="1" applyFont="1" applyFill="1" applyBorder="1" applyAlignment="1">
      <alignment vertical="top" wrapText="1"/>
    </xf>
    <xf numFmtId="0" fontId="8" fillId="3" borderId="1" xfId="1" applyFont="1" applyFill="1" applyBorder="1" applyAlignment="1" applyProtection="1">
      <alignment horizontal="center" vertical="center" wrapText="1"/>
    </xf>
    <xf numFmtId="0" fontId="8" fillId="4" borderId="1" xfId="1" applyFont="1" applyFill="1" applyBorder="1" applyAlignment="1">
      <alignment vertical="top" wrapText="1"/>
    </xf>
    <xf numFmtId="0" fontId="8" fillId="4" borderId="1" xfId="1" applyFont="1" applyFill="1" applyBorder="1" applyAlignment="1" applyProtection="1">
      <alignment horizontal="center" vertical="center" wrapText="1"/>
    </xf>
    <xf numFmtId="0" fontId="5" fillId="5" borderId="0" xfId="0" applyFont="1" applyFill="1"/>
    <xf numFmtId="0" fontId="10" fillId="5" borderId="0" xfId="0" applyFont="1" applyFill="1" applyAlignment="1">
      <alignment horizontal="center"/>
    </xf>
    <xf numFmtId="0" fontId="9" fillId="5" borderId="1" xfId="0" applyFont="1" applyFill="1" applyBorder="1" applyAlignment="1">
      <alignment horizontal="left"/>
    </xf>
    <xf numFmtId="0" fontId="9" fillId="5" borderId="1" xfId="0" applyFont="1" applyFill="1" applyBorder="1" applyAlignment="1" applyProtection="1">
      <alignment horizontal="left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right"/>
    </xf>
    <xf numFmtId="0" fontId="9" fillId="5" borderId="1" xfId="0" applyFont="1" applyFill="1" applyBorder="1" applyAlignment="1" applyProtection="1">
      <alignment horizontal="center"/>
    </xf>
    <xf numFmtId="0" fontId="12" fillId="0" borderId="0" xfId="0" applyFont="1" applyFill="1" applyBorder="1"/>
    <xf numFmtId="4" fontId="14" fillId="2" borderId="5" xfId="0" applyNumberFormat="1" applyFont="1" applyFill="1" applyBorder="1"/>
    <xf numFmtId="0" fontId="9" fillId="5" borderId="9" xfId="0" applyFont="1" applyFill="1" applyBorder="1" applyAlignment="1">
      <alignment horizontal="right"/>
    </xf>
    <xf numFmtId="4" fontId="14" fillId="2" borderId="10" xfId="0" applyNumberFormat="1" applyFont="1" applyFill="1" applyBorder="1"/>
    <xf numFmtId="1" fontId="8" fillId="2" borderId="0" xfId="0" applyNumberFormat="1" applyFont="1" applyFill="1" applyBorder="1" applyAlignment="1">
      <alignment horizontal="right"/>
    </xf>
    <xf numFmtId="0" fontId="8" fillId="6" borderId="1" xfId="1" applyFont="1" applyFill="1" applyBorder="1" applyAlignment="1" applyProtection="1">
      <alignment horizontal="center" vertical="center" wrapText="1"/>
    </xf>
    <xf numFmtId="0" fontId="8" fillId="6" borderId="1" xfId="1" applyFont="1" applyFill="1" applyBorder="1" applyAlignment="1">
      <alignment vertical="top" wrapText="1"/>
    </xf>
    <xf numFmtId="0" fontId="8" fillId="6" borderId="1" xfId="1" applyFont="1" applyFill="1" applyBorder="1" applyAlignment="1">
      <alignment horizontal="center" vertical="top" wrapText="1"/>
    </xf>
    <xf numFmtId="49" fontId="8" fillId="6" borderId="1" xfId="1" applyNumberFormat="1" applyFont="1" applyFill="1" applyBorder="1" applyAlignment="1" applyProtection="1">
      <alignment horizontal="center" vertical="center" wrapText="1"/>
    </xf>
    <xf numFmtId="0" fontId="15" fillId="0" borderId="0" xfId="0" applyFont="1" applyBorder="1"/>
    <xf numFmtId="0" fontId="16" fillId="3" borderId="1" xfId="1" applyFont="1" applyFill="1" applyBorder="1" applyAlignment="1" applyProtection="1">
      <alignment horizontal="center" vertical="center" wrapText="1"/>
    </xf>
    <xf numFmtId="0" fontId="5" fillId="0" borderId="0" xfId="0" applyFont="1" applyFill="1" applyBorder="1"/>
    <xf numFmtId="0" fontId="8" fillId="4" borderId="1" xfId="1" applyFont="1" applyFill="1" applyBorder="1" applyAlignment="1" applyProtection="1">
      <alignment horizontal="center" vertical="center" wrapText="1"/>
    </xf>
    <xf numFmtId="0" fontId="8" fillId="6" borderId="1" xfId="1" applyFont="1" applyFill="1" applyBorder="1" applyAlignment="1" applyProtection="1">
      <alignment horizontal="center" vertical="center" wrapText="1"/>
    </xf>
    <xf numFmtId="0" fontId="8" fillId="4" borderId="1" xfId="1" quotePrefix="1" applyFont="1" applyFill="1" applyBorder="1" applyAlignment="1" applyProtection="1">
      <alignment horizontal="center" vertical="center" wrapText="1"/>
    </xf>
    <xf numFmtId="0" fontId="8" fillId="4" borderId="1" xfId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B6B90"/>
      <color rgb="FF165CA2"/>
      <color rgb="FF0F959C"/>
      <color rgb="FF650303"/>
      <color rgb="FF820404"/>
      <color rgb="FFB106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2"/>
          <c:order val="0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0"/>
              <c:pt idx="0">
                <c:v>Inst &amp; Conf</c:v>
              </c:pt>
              <c:pt idx="1">
                <c:v>Migration</c:v>
              </c:pt>
              <c:pt idx="2">
                <c:v>GUI</c:v>
              </c:pt>
              <c:pt idx="3">
                <c:v>Dev</c:v>
              </c:pt>
              <c:pt idx="4">
                <c:v>Exploit</c:v>
              </c:pt>
              <c:pt idx="5">
                <c:v>alarmes</c:v>
              </c:pt>
              <c:pt idx="6">
                <c:v>contraintes</c:v>
              </c:pt>
              <c:pt idx="7">
                <c:v>Ressource</c:v>
              </c:pt>
              <c:pt idx="8">
                <c:v>Doc</c:v>
              </c:pt>
              <c:pt idx="9">
                <c:v>Maint</c:v>
              </c:pt>
            </c:strLit>
          </c:cat>
          <c:val>
            <c:numRef>
              <c:f>Synthèse!$B$2:$B$10</c:f>
              <c:numCache>
                <c:formatCode>#,##0.00</c:formatCode>
                <c:ptCount val="9"/>
                <c:pt idx="0">
                  <c:v>14.857142857142858</c:v>
                </c:pt>
                <c:pt idx="1">
                  <c:v>15.714285714285714</c:v>
                </c:pt>
                <c:pt idx="2">
                  <c:v>16.599999999999998</c:v>
                </c:pt>
                <c:pt idx="3">
                  <c:v>14.45045045045045</c:v>
                </c:pt>
                <c:pt idx="4">
                  <c:v>15.2258064516129</c:v>
                </c:pt>
                <c:pt idx="5">
                  <c:v>16.761904761904763</c:v>
                </c:pt>
                <c:pt idx="6">
                  <c:v>16.275862068965516</c:v>
                </c:pt>
                <c:pt idx="7">
                  <c:v>11.428571428571429</c:v>
                </c:pt>
                <c:pt idx="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BC-45D7-BA24-04BD3D9A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02640"/>
        <c:axId val="373603032"/>
      </c:barChart>
      <c:catAx>
        <c:axId val="37360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73603032"/>
        <c:crosses val="autoZero"/>
        <c:auto val="0"/>
        <c:lblAlgn val="ctr"/>
        <c:lblOffset val="100"/>
        <c:tickLblSkip val="11"/>
        <c:tickMarkSkip val="1"/>
        <c:noMultiLvlLbl val="0"/>
      </c:catAx>
      <c:valAx>
        <c:axId val="3736030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73602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horizont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fr-FR"/>
              <a:t>Synthèse</a:t>
            </a:r>
          </a:p>
        </c:rich>
      </c:tx>
      <c:layout>
        <c:manualLayout>
          <c:xMode val="edge"/>
          <c:yMode val="edge"/>
          <c:x val="0.42596391475406642"/>
          <c:y val="3.2085561497326456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 flip="none" rotWithShape="1">
          <a:gsLst>
            <a:gs pos="0">
              <a:prstClr val="white"/>
            </a:gs>
            <a:gs pos="50000">
              <a:prstClr val="white">
                <a:lumMod val="85000"/>
              </a:prstClr>
            </a:gs>
            <a:gs pos="100000">
              <a:schemeClr val="bg1">
                <a:lumMod val="75000"/>
              </a:schemeClr>
            </a:gs>
          </a:gsLst>
          <a:lin ang="10800000" scaled="1"/>
          <a:tileRect/>
        </a:gradFill>
        <a:ln w="12700">
          <a:solidFill>
            <a:srgbClr val="808080"/>
          </a:solidFill>
          <a:prstDash val="solid"/>
        </a:ln>
      </c:spPr>
    </c:sideWall>
    <c:backWall>
      <c:thickness val="0"/>
      <c:spPr>
        <a:gradFill flip="none" rotWithShape="1">
          <a:gsLst>
            <a:gs pos="0">
              <a:prstClr val="white"/>
            </a:gs>
            <a:gs pos="50000">
              <a:prstClr val="white">
                <a:lumMod val="85000"/>
              </a:prstClr>
            </a:gs>
            <a:gs pos="100000">
              <a:schemeClr val="bg1">
                <a:lumMod val="75000"/>
              </a:schemeClr>
            </a:gs>
          </a:gsLst>
          <a:lin ang="0" scaled="1"/>
          <a:tileRect/>
        </a:gra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2109555366493572"/>
          <c:y val="0.14171122994652421"/>
          <c:w val="0.53346908820071648"/>
          <c:h val="0.73796791443850851"/>
        </c:manualLayout>
      </c:layout>
      <c:bar3DChart>
        <c:barDir val="bar"/>
        <c:grouping val="clustered"/>
        <c:varyColors val="0"/>
        <c:ser>
          <c:idx val="1"/>
          <c:order val="0"/>
          <c:tx>
            <c:strRef>
              <c:f>Synthèse!$I$1</c:f>
              <c:strCache>
                <c:ptCount val="1"/>
                <c:pt idx="0">
                  <c:v>Zabbix</c:v>
                </c:pt>
              </c:strCache>
            </c:strRef>
          </c:tx>
          <c:spPr>
            <a:gradFill flip="none" rotWithShape="1">
              <a:gsLst>
                <a:gs pos="0">
                  <a:srgbClr val="C0504D">
                    <a:lumMod val="40000"/>
                    <a:lumOff val="60000"/>
                  </a:srgbClr>
                </a:gs>
                <a:gs pos="50000">
                  <a:srgbClr val="C0504D">
                    <a:lumMod val="60000"/>
                    <a:lumOff val="40000"/>
                  </a:srgbClr>
                </a:gs>
                <a:gs pos="100000">
                  <a:schemeClr val="accent2">
                    <a:lumMod val="75000"/>
                  </a:schemeClr>
                </a:gs>
              </a:gsLst>
              <a:lin ang="0" scaled="1"/>
              <a:tileRect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Synthèse!$H$2:$H$10</c:f>
              <c:strCache>
                <c:ptCount val="9"/>
                <c:pt idx="0">
                  <c:v>Architecture</c:v>
                </c:pt>
                <c:pt idx="1">
                  <c:v>Installation</c:v>
                </c:pt>
                <c:pt idx="2">
                  <c:v>GUI</c:v>
                </c:pt>
                <c:pt idx="3">
                  <c:v>Aspects fonctionnels</c:v>
                </c:pt>
                <c:pt idx="4">
                  <c:v>Exploit</c:v>
                </c:pt>
                <c:pt idx="5">
                  <c:v>Sécurité</c:v>
                </c:pt>
                <c:pt idx="6">
                  <c:v>Coûts</c:v>
                </c:pt>
                <c:pt idx="7">
                  <c:v>Doc</c:v>
                </c:pt>
                <c:pt idx="8">
                  <c:v>Maint</c:v>
                </c:pt>
              </c:strCache>
            </c:strRef>
          </c:cat>
          <c:val>
            <c:numRef>
              <c:f>Synthèse!$B$2:$B$10</c:f>
              <c:numCache>
                <c:formatCode>#,##0.00</c:formatCode>
                <c:ptCount val="9"/>
                <c:pt idx="0">
                  <c:v>14.857142857142858</c:v>
                </c:pt>
                <c:pt idx="1">
                  <c:v>15.714285714285714</c:v>
                </c:pt>
                <c:pt idx="2">
                  <c:v>16.599999999999998</c:v>
                </c:pt>
                <c:pt idx="3">
                  <c:v>14.45045045045045</c:v>
                </c:pt>
                <c:pt idx="4">
                  <c:v>15.2258064516129</c:v>
                </c:pt>
                <c:pt idx="5">
                  <c:v>16.761904761904763</c:v>
                </c:pt>
                <c:pt idx="6">
                  <c:v>16.275862068965516</c:v>
                </c:pt>
                <c:pt idx="7">
                  <c:v>11.428571428571429</c:v>
                </c:pt>
                <c:pt idx="8">
                  <c:v>14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0-1BA5-4240-8243-CE99983ED50C}"/>
            </c:ext>
          </c:extLst>
        </c:ser>
        <c:ser>
          <c:idx val="0"/>
          <c:order val="1"/>
          <c:tx>
            <c:strRef>
              <c:f>Synthèse!$J$1</c:f>
              <c:strCache>
                <c:ptCount val="1"/>
                <c:pt idx="0">
                  <c:v>Shinken</c:v>
                </c:pt>
              </c:strCache>
            </c:strRef>
          </c:tx>
          <c:spPr>
            <a:gradFill>
              <a:gsLst>
                <a:gs pos="0">
                  <a:srgbClr val="1F497D">
                    <a:lumMod val="40000"/>
                    <a:lumOff val="60000"/>
                  </a:srgbClr>
                </a:gs>
                <a:gs pos="0">
                  <a:srgbClr val="1F497D">
                    <a:lumMod val="60000"/>
                    <a:lumOff val="40000"/>
                  </a:srgbClr>
                </a:gs>
                <a:gs pos="100000">
                  <a:schemeClr val="tx2">
                    <a:lumMod val="75000"/>
                  </a:schemeClr>
                </a:gs>
              </a:gsLst>
              <a:lin ang="10800000" scaled="1"/>
            </a:gradFill>
          </c:spPr>
          <c:invertIfNegative val="0"/>
          <c:cat>
            <c:strRef>
              <c:f>Synthèse!$H$2:$H$10</c:f>
              <c:strCache>
                <c:ptCount val="9"/>
                <c:pt idx="0">
                  <c:v>Architecture</c:v>
                </c:pt>
                <c:pt idx="1">
                  <c:v>Installation</c:v>
                </c:pt>
                <c:pt idx="2">
                  <c:v>GUI</c:v>
                </c:pt>
                <c:pt idx="3">
                  <c:v>Aspects fonctionnels</c:v>
                </c:pt>
                <c:pt idx="4">
                  <c:v>Exploit</c:v>
                </c:pt>
                <c:pt idx="5">
                  <c:v>Sécurité</c:v>
                </c:pt>
                <c:pt idx="6">
                  <c:v>Coûts</c:v>
                </c:pt>
                <c:pt idx="7">
                  <c:v>Doc</c:v>
                </c:pt>
                <c:pt idx="8">
                  <c:v>Maint</c:v>
                </c:pt>
              </c:strCache>
            </c:strRef>
          </c:cat>
          <c:val>
            <c:numRef>
              <c:f>Synthèse!$C$2:$C$10</c:f>
              <c:numCache>
                <c:formatCode>#,##0.00</c:formatCode>
                <c:ptCount val="9"/>
                <c:pt idx="0">
                  <c:v>16.342857142857142</c:v>
                </c:pt>
                <c:pt idx="1">
                  <c:v>12</c:v>
                </c:pt>
                <c:pt idx="2">
                  <c:v>13.399999999999999</c:v>
                </c:pt>
                <c:pt idx="3">
                  <c:v>12.864864864864865</c:v>
                </c:pt>
                <c:pt idx="4">
                  <c:v>12</c:v>
                </c:pt>
                <c:pt idx="5">
                  <c:v>12.190476190476192</c:v>
                </c:pt>
                <c:pt idx="6">
                  <c:v>13.517241379310345</c:v>
                </c:pt>
                <c:pt idx="7">
                  <c:v>9.1428571428571423</c:v>
                </c:pt>
                <c:pt idx="8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A5-4240-8243-CE99983ED50C}"/>
            </c:ext>
          </c:extLst>
        </c:ser>
        <c:ser>
          <c:idx val="2"/>
          <c:order val="2"/>
          <c:tx>
            <c:strRef>
              <c:f>Synthèse!$K$1</c:f>
              <c:strCache>
                <c:ptCount val="1"/>
                <c:pt idx="0">
                  <c:v>Nimsoft</c:v>
                </c:pt>
              </c:strCache>
            </c:strRef>
          </c:tx>
          <c:spPr>
            <a:gradFill>
              <a:gsLst>
                <a:gs pos="0">
                  <a:srgbClr val="9BBB59">
                    <a:lumMod val="40000"/>
                    <a:lumOff val="60000"/>
                  </a:srgbClr>
                </a:gs>
                <a:gs pos="0">
                  <a:srgbClr val="9BBB59">
                    <a:lumMod val="60000"/>
                    <a:lumOff val="40000"/>
                  </a:srgbClr>
                </a:gs>
                <a:gs pos="100000">
                  <a:schemeClr val="accent3">
                    <a:lumMod val="75000"/>
                  </a:schemeClr>
                </a:gs>
              </a:gsLst>
              <a:lin ang="10800000" scaled="1"/>
            </a:gradFill>
          </c:spPr>
          <c:invertIfNegative val="0"/>
          <c:cat>
            <c:strRef>
              <c:f>Synthèse!$H$2:$H$10</c:f>
              <c:strCache>
                <c:ptCount val="9"/>
                <c:pt idx="0">
                  <c:v>Architecture</c:v>
                </c:pt>
                <c:pt idx="1">
                  <c:v>Installation</c:v>
                </c:pt>
                <c:pt idx="2">
                  <c:v>GUI</c:v>
                </c:pt>
                <c:pt idx="3">
                  <c:v>Aspects fonctionnels</c:v>
                </c:pt>
                <c:pt idx="4">
                  <c:v>Exploit</c:v>
                </c:pt>
                <c:pt idx="5">
                  <c:v>Sécurité</c:v>
                </c:pt>
                <c:pt idx="6">
                  <c:v>Coûts</c:v>
                </c:pt>
                <c:pt idx="7">
                  <c:v>Doc</c:v>
                </c:pt>
                <c:pt idx="8">
                  <c:v>Maint</c:v>
                </c:pt>
              </c:strCache>
            </c:strRef>
          </c:cat>
          <c:val>
            <c:numRef>
              <c:f>Synthèse!$D$2:$D$10</c:f>
              <c:numCache>
                <c:formatCode>#,##0.00</c:formatCode>
                <c:ptCount val="9"/>
                <c:pt idx="0">
                  <c:v>16.571428571428573</c:v>
                </c:pt>
                <c:pt idx="1">
                  <c:v>18</c:v>
                </c:pt>
                <c:pt idx="2">
                  <c:v>18.2</c:v>
                </c:pt>
                <c:pt idx="3">
                  <c:v>16.936936936936938</c:v>
                </c:pt>
                <c:pt idx="4">
                  <c:v>17.35483870967742</c:v>
                </c:pt>
                <c:pt idx="5">
                  <c:v>17.333333333333336</c:v>
                </c:pt>
                <c:pt idx="6">
                  <c:v>12.96551724137931</c:v>
                </c:pt>
                <c:pt idx="7">
                  <c:v>12.38095238095238</c:v>
                </c:pt>
                <c:pt idx="8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A5-4240-8243-CE99983ED50C}"/>
            </c:ext>
          </c:extLst>
        </c:ser>
        <c:ser>
          <c:idx val="3"/>
          <c:order val="3"/>
          <c:tx>
            <c:strRef>
              <c:f>Synthèse!$L$1</c:f>
              <c:strCache>
                <c:ptCount val="1"/>
                <c:pt idx="0">
                  <c:v>BSM</c:v>
                </c:pt>
              </c:strCache>
            </c:strRef>
          </c:tx>
          <c:spPr>
            <a:gradFill flip="none" rotWithShape="1">
              <a:gsLst>
                <a:gs pos="0">
                  <a:srgbClr val="8064A2">
                    <a:lumMod val="40000"/>
                    <a:lumOff val="60000"/>
                  </a:srgbClr>
                </a:gs>
                <a:gs pos="0">
                  <a:srgbClr val="8064A2">
                    <a:lumMod val="60000"/>
                    <a:lumOff val="40000"/>
                  </a:srgbClr>
                </a:gs>
                <a:gs pos="100000">
                  <a:schemeClr val="accent4">
                    <a:lumMod val="75000"/>
                  </a:schemeClr>
                </a:gs>
              </a:gsLst>
              <a:lin ang="10800000" scaled="1"/>
              <a:tileRect/>
            </a:gradFill>
          </c:spPr>
          <c:invertIfNegative val="0"/>
          <c:cat>
            <c:strRef>
              <c:f>Synthèse!$H$2:$H$10</c:f>
              <c:strCache>
                <c:ptCount val="9"/>
                <c:pt idx="0">
                  <c:v>Architecture</c:v>
                </c:pt>
                <c:pt idx="1">
                  <c:v>Installation</c:v>
                </c:pt>
                <c:pt idx="2">
                  <c:v>GUI</c:v>
                </c:pt>
                <c:pt idx="3">
                  <c:v>Aspects fonctionnels</c:v>
                </c:pt>
                <c:pt idx="4">
                  <c:v>Exploit</c:v>
                </c:pt>
                <c:pt idx="5">
                  <c:v>Sécurité</c:v>
                </c:pt>
                <c:pt idx="6">
                  <c:v>Coûts</c:v>
                </c:pt>
                <c:pt idx="7">
                  <c:v>Doc</c:v>
                </c:pt>
                <c:pt idx="8">
                  <c:v>Maint</c:v>
                </c:pt>
              </c:strCache>
            </c:strRef>
          </c:cat>
          <c:val>
            <c:numRef>
              <c:f>Synthèse!$E$2:$E$10</c:f>
              <c:numCache>
                <c:formatCode>#,##0.00</c:formatCode>
                <c:ptCount val="9"/>
                <c:pt idx="0">
                  <c:v>16.457142857142859</c:v>
                </c:pt>
                <c:pt idx="1">
                  <c:v>14.857142857142858</c:v>
                </c:pt>
                <c:pt idx="2">
                  <c:v>18.399999999999995</c:v>
                </c:pt>
                <c:pt idx="3">
                  <c:v>17.441441441441441</c:v>
                </c:pt>
                <c:pt idx="4">
                  <c:v>17.225806451612904</c:v>
                </c:pt>
                <c:pt idx="5">
                  <c:v>18.095238095238095</c:v>
                </c:pt>
                <c:pt idx="6">
                  <c:v>8.137931034482758</c:v>
                </c:pt>
                <c:pt idx="7">
                  <c:v>11.428571428571429</c:v>
                </c:pt>
                <c:pt idx="8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A5-4240-8243-CE99983ED50C}"/>
            </c:ext>
          </c:extLst>
        </c:ser>
        <c:ser>
          <c:idx val="4"/>
          <c:order val="4"/>
          <c:tx>
            <c:strRef>
              <c:f>Synthèse!$M$1</c:f>
              <c:strCache>
                <c:ptCount val="1"/>
                <c:pt idx="0">
                  <c:v>SolarWinds</c:v>
                </c:pt>
              </c:strCache>
            </c:strRef>
          </c:tx>
          <c:spPr>
            <a:gradFill>
              <a:gsLst>
                <a:gs pos="0">
                  <a:srgbClr val="4BACC6">
                    <a:lumMod val="20000"/>
                    <a:lumOff val="80000"/>
                  </a:srgbClr>
                </a:gs>
                <a:gs pos="0">
                  <a:srgbClr val="4BACC6">
                    <a:lumMod val="40000"/>
                    <a:lumOff val="60000"/>
                  </a:srgb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0800000" scaled="1"/>
            </a:gradFill>
          </c:spPr>
          <c:invertIfNegative val="0"/>
          <c:cat>
            <c:strRef>
              <c:f>Synthèse!$H$2:$H$10</c:f>
              <c:strCache>
                <c:ptCount val="9"/>
                <c:pt idx="0">
                  <c:v>Architecture</c:v>
                </c:pt>
                <c:pt idx="1">
                  <c:v>Installation</c:v>
                </c:pt>
                <c:pt idx="2">
                  <c:v>GUI</c:v>
                </c:pt>
                <c:pt idx="3">
                  <c:v>Aspects fonctionnels</c:v>
                </c:pt>
                <c:pt idx="4">
                  <c:v>Exploit</c:v>
                </c:pt>
                <c:pt idx="5">
                  <c:v>Sécurité</c:v>
                </c:pt>
                <c:pt idx="6">
                  <c:v>Coûts</c:v>
                </c:pt>
                <c:pt idx="7">
                  <c:v>Doc</c:v>
                </c:pt>
                <c:pt idx="8">
                  <c:v>Maint</c:v>
                </c:pt>
              </c:strCache>
            </c:strRef>
          </c:cat>
          <c:val>
            <c:numRef>
              <c:f>Synthèse!$F$2:$F$10</c:f>
              <c:numCache>
                <c:formatCode>#,##0.00</c:formatCode>
                <c:ptCount val="9"/>
                <c:pt idx="0">
                  <c:v>14.857142857142858</c:v>
                </c:pt>
                <c:pt idx="1">
                  <c:v>13.142857142857142</c:v>
                </c:pt>
                <c:pt idx="2">
                  <c:v>18.799999999999997</c:v>
                </c:pt>
                <c:pt idx="3">
                  <c:v>17.513513513513516</c:v>
                </c:pt>
                <c:pt idx="4">
                  <c:v>15.870967741935482</c:v>
                </c:pt>
                <c:pt idx="5">
                  <c:v>18.476190476190474</c:v>
                </c:pt>
                <c:pt idx="6">
                  <c:v>12.413793103448276</c:v>
                </c:pt>
                <c:pt idx="7">
                  <c:v>12.38095238095238</c:v>
                </c:pt>
                <c:pt idx="8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5-4240-8243-CE99983ED50C}"/>
            </c:ext>
          </c:extLst>
        </c:ser>
        <c:ser>
          <c:idx val="5"/>
          <c:order val="5"/>
          <c:tx>
            <c:strRef>
              <c:f>Synthèse!$N$1</c:f>
              <c:strCache>
                <c:ptCount val="1"/>
                <c:pt idx="0">
                  <c:v>EON</c:v>
                </c:pt>
              </c:strCache>
            </c:strRef>
          </c:tx>
          <c:spPr>
            <a:gradFill flip="none" rotWithShape="1">
              <a:gsLst>
                <a:gs pos="0">
                  <a:srgbClr val="F79646">
                    <a:lumMod val="40000"/>
                    <a:lumOff val="60000"/>
                  </a:srgbClr>
                </a:gs>
                <a:gs pos="0">
                  <a:srgbClr val="F79646">
                    <a:lumMod val="60000"/>
                    <a:lumOff val="40000"/>
                  </a:srgbClr>
                </a:gs>
                <a:gs pos="100000">
                  <a:schemeClr val="accent6">
                    <a:lumMod val="75000"/>
                  </a:schemeClr>
                </a:gs>
              </a:gsLst>
              <a:lin ang="8100000" scaled="1"/>
              <a:tileRect/>
            </a:gradFill>
          </c:spPr>
          <c:invertIfNegative val="0"/>
          <c:cat>
            <c:strRef>
              <c:f>Synthèse!$H$2:$H$10</c:f>
              <c:strCache>
                <c:ptCount val="9"/>
                <c:pt idx="0">
                  <c:v>Architecture</c:v>
                </c:pt>
                <c:pt idx="1">
                  <c:v>Installation</c:v>
                </c:pt>
                <c:pt idx="2">
                  <c:v>GUI</c:v>
                </c:pt>
                <c:pt idx="3">
                  <c:v>Aspects fonctionnels</c:v>
                </c:pt>
                <c:pt idx="4">
                  <c:v>Exploit</c:v>
                </c:pt>
                <c:pt idx="5">
                  <c:v>Sécurité</c:v>
                </c:pt>
                <c:pt idx="6">
                  <c:v>Coûts</c:v>
                </c:pt>
                <c:pt idx="7">
                  <c:v>Doc</c:v>
                </c:pt>
                <c:pt idx="8">
                  <c:v>Maint</c:v>
                </c:pt>
              </c:strCache>
            </c:strRef>
          </c:cat>
          <c:val>
            <c:numRef>
              <c:f>Synthèse!$G$2:$G$10</c:f>
              <c:numCache>
                <c:formatCode>#,##0.00</c:formatCode>
                <c:ptCount val="9"/>
                <c:pt idx="0">
                  <c:v>13.028571428571428</c:v>
                </c:pt>
                <c:pt idx="1">
                  <c:v>12</c:v>
                </c:pt>
                <c:pt idx="2">
                  <c:v>12.6</c:v>
                </c:pt>
                <c:pt idx="3">
                  <c:v>12.360360360360362</c:v>
                </c:pt>
                <c:pt idx="4">
                  <c:v>11.096774193548386</c:v>
                </c:pt>
                <c:pt idx="5">
                  <c:v>13.333333333333332</c:v>
                </c:pt>
                <c:pt idx="6">
                  <c:v>14.620689655172416</c:v>
                </c:pt>
                <c:pt idx="7">
                  <c:v>9.3333333333333321</c:v>
                </c:pt>
                <c:pt idx="8">
                  <c:v>11.200000000000001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A5-4240-8243-CE99983ED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73603816"/>
        <c:axId val="324985512"/>
        <c:axId val="0"/>
      </c:bar3DChart>
      <c:catAx>
        <c:axId val="373603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fr-FR"/>
          </a:p>
        </c:txPr>
        <c:crossAx val="324985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9855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fr-FR"/>
          </a:p>
        </c:txPr>
        <c:crossAx val="373603816"/>
        <c:crosses val="autoZero"/>
        <c:crossBetween val="between"/>
      </c:valAx>
    </c:plotArea>
    <c:legend>
      <c:legendPos val="r"/>
      <c:legendEntry>
        <c:idx val="5"/>
        <c:txPr>
          <a:bodyPr/>
          <a:lstStyle/>
          <a:p>
            <a:pPr>
              <a:defRPr sz="92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fr-FR"/>
          </a:p>
        </c:txPr>
      </c:legendEntry>
      <c:layout>
        <c:manualLayout>
          <c:xMode val="edge"/>
          <c:yMode val="edge"/>
          <c:x val="0.81744507088743723"/>
          <c:y val="0.48128342245989308"/>
          <c:w val="6.4823906535635994E-2"/>
          <c:h val="0.257342204050232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2" footer="0.4921259845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hPercent val="100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Weighted overall result</c:v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chemeClr val="accent2">
                      <a:lumMod val="40000"/>
                      <a:lumOff val="6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2AA0-42C3-A88A-BB869DB8C261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2AA0-42C3-A88A-BB869DB8C261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5-2AA0-42C3-A88A-BB869DB8C261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2AA0-42C3-A88A-BB869DB8C261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2AA0-42C3-A88A-BB869DB8C26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Synthèse!$I$11:$N$11</c:f>
              <c:numCache>
                <c:formatCode>#,##0.00</c:formatCode>
                <c:ptCount val="6"/>
                <c:pt idx="0">
                  <c:v>15.085504179468758</c:v>
                </c:pt>
                <c:pt idx="1">
                  <c:v>12.418299452937191</c:v>
                </c:pt>
                <c:pt idx="2">
                  <c:v>16.232463383775077</c:v>
                </c:pt>
                <c:pt idx="3">
                  <c:v>15.605639292164897</c:v>
                </c:pt>
                <c:pt idx="4">
                  <c:v>15.860048046482413</c:v>
                </c:pt>
                <c:pt idx="5">
                  <c:v>12.162623816831363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A0-42C3-A88A-BB869DB8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4986296"/>
        <c:axId val="324986688"/>
        <c:axId val="0"/>
      </c:bar3DChart>
      <c:catAx>
        <c:axId val="324986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986688"/>
        <c:crossesAt val="0"/>
        <c:auto val="1"/>
        <c:lblAlgn val="ctr"/>
        <c:lblOffset val="100"/>
        <c:noMultiLvlLbl val="0"/>
      </c:catAx>
      <c:valAx>
        <c:axId val="324986688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4986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Synthèse!$H$2</c:f>
              <c:strCache>
                <c:ptCount val="1"/>
                <c:pt idx="0">
                  <c:v>Architecture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1E2B-4FA0-A003-3BA1413159B3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1E2B-4FA0-A003-3BA1413159B3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8064A2">
                      <a:lumMod val="40000"/>
                      <a:lumOff val="60000"/>
                    </a:srgbClr>
                  </a:gs>
                  <a:gs pos="5000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5-1E2B-4FA0-A003-3BA1413159B3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1E2B-4FA0-A003-3BA1413159B3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1E2B-4FA0-A003-3BA1413159B3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2B-4FA0-A003-3BA1413159B3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2B-4FA0-A003-3BA1413159B3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2B-4FA0-A003-3BA1413159B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Synthèse!$B$2:$G$2</c:f>
              <c:numCache>
                <c:formatCode>#,##0.00</c:formatCode>
                <c:ptCount val="6"/>
                <c:pt idx="0">
                  <c:v>14.857142857142858</c:v>
                </c:pt>
                <c:pt idx="1">
                  <c:v>16.342857142857142</c:v>
                </c:pt>
                <c:pt idx="2">
                  <c:v>16.571428571428573</c:v>
                </c:pt>
                <c:pt idx="3">
                  <c:v>16.457142857142859</c:v>
                </c:pt>
                <c:pt idx="4">
                  <c:v>14.857142857142858</c:v>
                </c:pt>
                <c:pt idx="5">
                  <c:v>13.028571428571428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E2B-4FA0-A003-3BA141315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4987472"/>
        <c:axId val="324987864"/>
        <c:axId val="0"/>
      </c:bar3DChart>
      <c:catAx>
        <c:axId val="324987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987864"/>
        <c:crosses val="autoZero"/>
        <c:auto val="1"/>
        <c:lblAlgn val="ctr"/>
        <c:lblOffset val="100"/>
        <c:noMultiLvlLbl val="0"/>
      </c:catAx>
      <c:valAx>
        <c:axId val="324987864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4987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Synthèse!$H$3</c:f>
              <c:strCache>
                <c:ptCount val="1"/>
                <c:pt idx="0">
                  <c:v>Installation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3E02-4470-AF18-5C2F1738AC8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3E02-4470-AF18-5C2F1738AC8A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rgbClr val="8064A2">
                      <a:lumMod val="40000"/>
                      <a:lumOff val="60000"/>
                    </a:srgbClr>
                  </a:gs>
                  <a:gs pos="5000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5-3E02-4470-AF18-5C2F1738AC8A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7-3E02-4470-AF18-5C2F1738AC8A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3E02-4470-AF18-5C2F1738AC8A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02-4470-AF18-5C2F1738AC8A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02-4470-AF18-5C2F1738AC8A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02-4470-AF18-5C2F1738AC8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Synthèse!$B$3:$G$3</c:f>
              <c:numCache>
                <c:formatCode>#,##0.00</c:formatCode>
                <c:ptCount val="6"/>
                <c:pt idx="0">
                  <c:v>15.714285714285714</c:v>
                </c:pt>
                <c:pt idx="1">
                  <c:v>12</c:v>
                </c:pt>
                <c:pt idx="2">
                  <c:v>18</c:v>
                </c:pt>
                <c:pt idx="3">
                  <c:v>14.857142857142858</c:v>
                </c:pt>
                <c:pt idx="4">
                  <c:v>13.142857142857142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E02-4470-AF18-5C2F1738A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4988648"/>
        <c:axId val="324989040"/>
        <c:axId val="0"/>
      </c:bar3DChart>
      <c:catAx>
        <c:axId val="324988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989040"/>
        <c:crosses val="autoZero"/>
        <c:auto val="1"/>
        <c:lblAlgn val="ctr"/>
        <c:lblOffset val="100"/>
        <c:noMultiLvlLbl val="0"/>
      </c:catAx>
      <c:valAx>
        <c:axId val="324989040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4988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Synthèse!$H$4</c:f>
              <c:strCache>
                <c:ptCount val="1"/>
                <c:pt idx="0">
                  <c:v>GUI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8827-4CAB-A07E-45808B886E4E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8827-4CAB-A07E-45808B886E4E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rgbClr val="8064A2">
                      <a:lumMod val="40000"/>
                      <a:lumOff val="60000"/>
                    </a:srgbClr>
                  </a:gs>
                  <a:gs pos="5000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5-8827-4CAB-A07E-45808B886E4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8827-4CAB-A07E-45808B886E4E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8827-4CAB-A07E-45808B886E4E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827-4CAB-A07E-45808B886E4E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27-4CAB-A07E-45808B886E4E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27-4CAB-A07E-45808B886E4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Synthèse!$B$4:$G$4</c:f>
              <c:numCache>
                <c:formatCode>#,##0.00</c:formatCode>
                <c:ptCount val="6"/>
                <c:pt idx="0">
                  <c:v>16.599999999999998</c:v>
                </c:pt>
                <c:pt idx="1">
                  <c:v>13.399999999999999</c:v>
                </c:pt>
                <c:pt idx="2">
                  <c:v>18.2</c:v>
                </c:pt>
                <c:pt idx="3">
                  <c:v>18.399999999999995</c:v>
                </c:pt>
                <c:pt idx="4">
                  <c:v>18.799999999999997</c:v>
                </c:pt>
                <c:pt idx="5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827-4CAB-A07E-45808B886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5022768"/>
        <c:axId val="325023160"/>
        <c:axId val="0"/>
      </c:bar3DChart>
      <c:catAx>
        <c:axId val="325022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5023160"/>
        <c:crosses val="autoZero"/>
        <c:auto val="1"/>
        <c:lblAlgn val="ctr"/>
        <c:lblOffset val="100"/>
        <c:noMultiLvlLbl val="0"/>
      </c:catAx>
      <c:valAx>
        <c:axId val="325023160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5022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Synthèse!$H$5</c:f>
              <c:strCache>
                <c:ptCount val="1"/>
                <c:pt idx="0">
                  <c:v>Aspects fonctionnels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FA59-4F9E-955D-7A46E05DA240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FA59-4F9E-955D-7A46E05DA240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accent4">
                      <a:lumMod val="40000"/>
                      <a:lumOff val="60000"/>
                    </a:schemeClr>
                  </a:gs>
                  <a:gs pos="0">
                    <a:srgbClr val="8064A2">
                      <a:lumMod val="60000"/>
                      <a:lumOff val="40000"/>
                    </a:srgbClr>
                  </a:gs>
                  <a:gs pos="100000">
                    <a:srgbClr val="8064A2">
                      <a:lumMod val="75000"/>
                    </a:srgbClr>
                  </a:gs>
                </a:gsLst>
                <a:lin ang="5400000" scaled="1"/>
              </a:gradFill>
            </c:spPr>
            <c:extLst>
              <c:ext xmlns:c16="http://schemas.microsoft.com/office/drawing/2014/chart" uri="{C3380CC4-5D6E-409C-BE32-E72D297353CC}">
                <c16:uniqueId val="{00000005-FA59-4F9E-955D-7A46E05DA240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FA59-4F9E-955D-7A46E05DA240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FA59-4F9E-955D-7A46E05DA240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59-4F9E-955D-7A46E05DA240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59-4F9E-955D-7A46E05DA240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59-4F9E-955D-7A46E05DA24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Synthèse!$B$5:$G$5</c:f>
              <c:numCache>
                <c:formatCode>#,##0.00</c:formatCode>
                <c:ptCount val="6"/>
                <c:pt idx="0">
                  <c:v>14.45045045045045</c:v>
                </c:pt>
                <c:pt idx="1">
                  <c:v>12.864864864864865</c:v>
                </c:pt>
                <c:pt idx="2">
                  <c:v>16.936936936936938</c:v>
                </c:pt>
                <c:pt idx="3">
                  <c:v>17.441441441441441</c:v>
                </c:pt>
                <c:pt idx="4">
                  <c:v>17.513513513513516</c:v>
                </c:pt>
                <c:pt idx="5">
                  <c:v>12.360360360360362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59-4F9E-955D-7A46E05DA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5023944"/>
        <c:axId val="325024336"/>
        <c:axId val="0"/>
      </c:bar3DChart>
      <c:catAx>
        <c:axId val="325023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5024336"/>
        <c:crosses val="autoZero"/>
        <c:auto val="1"/>
        <c:lblAlgn val="ctr"/>
        <c:lblOffset val="100"/>
        <c:noMultiLvlLbl val="0"/>
      </c:catAx>
      <c:valAx>
        <c:axId val="325024336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5023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Synthèse!$H$6</c:f>
              <c:strCache>
                <c:ptCount val="1"/>
                <c:pt idx="0">
                  <c:v>Exploit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0D43-4CC1-B18F-A4E96BDB0224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0D43-4CC1-B18F-A4E96BDB0224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accent4">
                      <a:lumMod val="40000"/>
                      <a:lumOff val="60000"/>
                    </a:schemeClr>
                  </a:gs>
                  <a:gs pos="0">
                    <a:srgbClr val="8064A2">
                      <a:lumMod val="60000"/>
                      <a:lumOff val="40000"/>
                    </a:srgbClr>
                  </a:gs>
                  <a:gs pos="100000">
                    <a:srgbClr val="8064A2">
                      <a:lumMod val="75000"/>
                    </a:srgbClr>
                  </a:gs>
                </a:gsLst>
                <a:lin ang="5400000" scaled="1"/>
              </a:gradFill>
            </c:spPr>
            <c:extLst>
              <c:ext xmlns:c16="http://schemas.microsoft.com/office/drawing/2014/chart" uri="{C3380CC4-5D6E-409C-BE32-E72D297353CC}">
                <c16:uniqueId val="{00000005-0D43-4CC1-B18F-A4E96BDB0224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0D43-4CC1-B18F-A4E96BDB0224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0D43-4CC1-B18F-A4E96BDB0224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43-4CC1-B18F-A4E96BDB0224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43-4CC1-B18F-A4E96BDB0224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43-4CC1-B18F-A4E96BDB022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Synthèse!$B$6:$G$6</c:f>
              <c:numCache>
                <c:formatCode>#,##0.00</c:formatCode>
                <c:ptCount val="6"/>
                <c:pt idx="0">
                  <c:v>15.2258064516129</c:v>
                </c:pt>
                <c:pt idx="1">
                  <c:v>12</c:v>
                </c:pt>
                <c:pt idx="2">
                  <c:v>17.35483870967742</c:v>
                </c:pt>
                <c:pt idx="3">
                  <c:v>17.225806451612904</c:v>
                </c:pt>
                <c:pt idx="4">
                  <c:v>15.870967741935482</c:v>
                </c:pt>
                <c:pt idx="5">
                  <c:v>11.096774193548386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3-4CC1-B18F-A4E96BDB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5025120"/>
        <c:axId val="325025512"/>
        <c:axId val="0"/>
      </c:bar3DChart>
      <c:catAx>
        <c:axId val="325025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5025512"/>
        <c:crosses val="autoZero"/>
        <c:auto val="1"/>
        <c:lblAlgn val="ctr"/>
        <c:lblOffset val="100"/>
        <c:noMultiLvlLbl val="0"/>
      </c:catAx>
      <c:valAx>
        <c:axId val="325025512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5025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Synthèse!$H$7</c:f>
              <c:strCache>
                <c:ptCount val="1"/>
                <c:pt idx="0">
                  <c:v>Sécurité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260A-4B9D-8BB9-4ABF654A9A6C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260A-4B9D-8BB9-4ABF654A9A6C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8064A2">
                      <a:lumMod val="40000"/>
                      <a:lumOff val="60000"/>
                    </a:srgbClr>
                  </a:gs>
                  <a:gs pos="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</c:spPr>
            <c:extLst>
              <c:ext xmlns:c16="http://schemas.microsoft.com/office/drawing/2014/chart" uri="{C3380CC4-5D6E-409C-BE32-E72D297353CC}">
                <c16:uniqueId val="{00000005-260A-4B9D-8BB9-4ABF654A9A6C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260A-4B9D-8BB9-4ABF654A9A6C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260A-4B9D-8BB9-4ABF654A9A6C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0A-4B9D-8BB9-4ABF654A9A6C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0A-4B9D-8BB9-4ABF654A9A6C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0A-4B9D-8BB9-4ABF654A9A6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Synthèse!$B$7:$G$7</c:f>
              <c:numCache>
                <c:formatCode>#,##0.00</c:formatCode>
                <c:ptCount val="6"/>
                <c:pt idx="0">
                  <c:v>16.761904761904763</c:v>
                </c:pt>
                <c:pt idx="1">
                  <c:v>12.190476190476192</c:v>
                </c:pt>
                <c:pt idx="2">
                  <c:v>17.333333333333336</c:v>
                </c:pt>
                <c:pt idx="3">
                  <c:v>18.095238095238095</c:v>
                </c:pt>
                <c:pt idx="4">
                  <c:v>18.476190476190474</c:v>
                </c:pt>
                <c:pt idx="5">
                  <c:v>13.333333333333332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0A-4B9D-8BB9-4ABF654A9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4909736"/>
        <c:axId val="324910128"/>
        <c:axId val="0"/>
      </c:bar3DChart>
      <c:catAx>
        <c:axId val="324909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910128"/>
        <c:crosses val="autoZero"/>
        <c:auto val="1"/>
        <c:lblAlgn val="ctr"/>
        <c:lblOffset val="100"/>
        <c:noMultiLvlLbl val="0"/>
      </c:catAx>
      <c:valAx>
        <c:axId val="324910128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4909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Synthèse!$H$8</c:f>
              <c:strCache>
                <c:ptCount val="1"/>
                <c:pt idx="0">
                  <c:v>Coûts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2F41-40C0-AC0F-B7F56F41FD22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2F41-40C0-AC0F-B7F56F41FD2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8064A2">
                      <a:lumMod val="40000"/>
                      <a:lumOff val="60000"/>
                    </a:srgbClr>
                  </a:gs>
                  <a:gs pos="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5-2F41-40C0-AC0F-B7F56F41FD22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2F41-40C0-AC0F-B7F56F41FD22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2F41-40C0-AC0F-B7F56F41FD22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41-40C0-AC0F-B7F56F41FD22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41-40C0-AC0F-B7F56F41FD22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41-40C0-AC0F-B7F56F41FD2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Synthèse!$B$8:$G$8</c:f>
              <c:numCache>
                <c:formatCode>#,##0.00</c:formatCode>
                <c:ptCount val="6"/>
                <c:pt idx="0">
                  <c:v>16.275862068965516</c:v>
                </c:pt>
                <c:pt idx="1">
                  <c:v>13.517241379310345</c:v>
                </c:pt>
                <c:pt idx="2">
                  <c:v>12.96551724137931</c:v>
                </c:pt>
                <c:pt idx="3">
                  <c:v>8.137931034482758</c:v>
                </c:pt>
                <c:pt idx="4">
                  <c:v>12.413793103448276</c:v>
                </c:pt>
                <c:pt idx="5">
                  <c:v>14.620689655172416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41-40C0-AC0F-B7F56F41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4910912"/>
        <c:axId val="324911304"/>
        <c:axId val="0"/>
      </c:bar3DChart>
      <c:catAx>
        <c:axId val="324910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911304"/>
        <c:crosses val="autoZero"/>
        <c:auto val="1"/>
        <c:lblAlgn val="ctr"/>
        <c:lblOffset val="100"/>
        <c:noMultiLvlLbl val="0"/>
      </c:catAx>
      <c:valAx>
        <c:axId val="324911304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4910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Synthèse!$H$9</c:f>
              <c:strCache>
                <c:ptCount val="1"/>
                <c:pt idx="0">
                  <c:v>Doc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1F91-4F5F-931A-214E13F9AEDE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1F91-4F5F-931A-214E13F9AEDE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8064A2">
                      <a:lumMod val="40000"/>
                      <a:lumOff val="60000"/>
                    </a:srgbClr>
                  </a:gs>
                  <a:gs pos="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5-1F91-4F5F-931A-214E13F9AED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1F91-4F5F-931A-214E13F9AEDE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1F91-4F5F-931A-214E13F9AEDE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91-4F5F-931A-214E13F9AEDE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91-4F5F-931A-214E13F9AEDE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91-4F5F-931A-214E13F9AED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Synthèse!$B$9:$G$9</c:f>
              <c:numCache>
                <c:formatCode>#,##0.00</c:formatCode>
                <c:ptCount val="6"/>
                <c:pt idx="0">
                  <c:v>11.428571428571429</c:v>
                </c:pt>
                <c:pt idx="1">
                  <c:v>9.1428571428571423</c:v>
                </c:pt>
                <c:pt idx="2">
                  <c:v>12.38095238095238</c:v>
                </c:pt>
                <c:pt idx="3">
                  <c:v>11.428571428571429</c:v>
                </c:pt>
                <c:pt idx="4">
                  <c:v>12.38095238095238</c:v>
                </c:pt>
                <c:pt idx="5">
                  <c:v>9.3333333333333321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F91-4F5F-931A-214E13F9A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4912088"/>
        <c:axId val="324912480"/>
        <c:axId val="0"/>
      </c:bar3DChart>
      <c:catAx>
        <c:axId val="3249120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912480"/>
        <c:crosses val="autoZero"/>
        <c:auto val="1"/>
        <c:lblAlgn val="ctr"/>
        <c:lblOffset val="100"/>
        <c:noMultiLvlLbl val="0"/>
      </c:catAx>
      <c:valAx>
        <c:axId val="324912480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4912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Synthèse!$H$10</c:f>
              <c:strCache>
                <c:ptCount val="1"/>
                <c:pt idx="0">
                  <c:v>Maint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0504D">
                      <a:lumMod val="75000"/>
                    </a:srgbClr>
                  </a:gs>
                  <a:gs pos="50000">
                    <a:srgbClr val="C0504D">
                      <a:lumMod val="60000"/>
                      <a:lumOff val="40000"/>
                    </a:srgbClr>
                  </a:gs>
                  <a:gs pos="100000">
                    <a:srgbClr val="C0504D">
                      <a:lumMod val="40000"/>
                      <a:lumOff val="60000"/>
                    </a:srgb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1-611B-4337-A233-7740E1467D8E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9BBB59">
                      <a:lumMod val="50000"/>
                    </a:srgbClr>
                  </a:gs>
                  <a:gs pos="50000">
                    <a:srgbClr val="9BBB59">
                      <a:lumMod val="75000"/>
                    </a:srgb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</a:gradFill>
            </c:spPr>
            <c:extLst>
              <c:ext xmlns:c16="http://schemas.microsoft.com/office/drawing/2014/chart" uri="{C3380CC4-5D6E-409C-BE32-E72D297353CC}">
                <c16:uniqueId val="{00000003-611B-4337-A233-7740E1467D8E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8064A2">
                      <a:lumMod val="40000"/>
                      <a:lumOff val="60000"/>
                    </a:srgbClr>
                  </a:gs>
                  <a:gs pos="0">
                    <a:srgbClr val="8064A2">
                      <a:lumMod val="60000"/>
                      <a:lumOff val="40000"/>
                    </a:srgbClr>
                  </a:gs>
                  <a:gs pos="100000">
                    <a:schemeClr val="accent4">
                      <a:lumMod val="75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5-611B-4337-A233-7740E1467D8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4BACC6">
                      <a:lumMod val="20000"/>
                      <a:lumOff val="80000"/>
                    </a:srgbClr>
                  </a:gs>
                  <a:gs pos="50000">
                    <a:srgbClr val="4BACC6">
                      <a:lumMod val="40000"/>
                      <a:lumOff val="60000"/>
                    </a:srgb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</a:gradFill>
            </c:spPr>
            <c:extLst>
              <c:ext xmlns:c16="http://schemas.microsoft.com/office/drawing/2014/chart" uri="{C3380CC4-5D6E-409C-BE32-E72D297353CC}">
                <c16:uniqueId val="{00000007-611B-4337-A233-7740E1467D8E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79646">
                      <a:lumMod val="40000"/>
                      <a:lumOff val="60000"/>
                    </a:srgbClr>
                  </a:gs>
                  <a:gs pos="50000">
                    <a:srgbClr val="F79646">
                      <a:lumMod val="60000"/>
                      <a:lumOff val="40000"/>
                    </a:srgbClr>
                  </a:gs>
                  <a:gs pos="100000">
                    <a:srgbClr val="F79646">
                      <a:lumMod val="75000"/>
                    </a:srgbClr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611B-4337-A233-7740E1467D8E}"/>
              </c:ext>
            </c:extLst>
          </c:dPt>
          <c:dLbls>
            <c:dLbl>
              <c:idx val="0"/>
              <c:layout>
                <c:manualLayout>
                  <c:x val="-5.5555555555555558E-3"/>
                  <c:y val="-6.0185185185185147E-2"/>
                </c:manualLayout>
              </c:layout>
              <c:spPr/>
              <c:txPr>
                <a:bodyPr anchor="t" anchorCtr="1"/>
                <a:lstStyle/>
                <a:p>
                  <a:pPr>
                    <a:defRPr/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1B-4337-A233-7740E1467D8E}"/>
                </c:ext>
              </c:extLst>
            </c:dLbl>
            <c:dLbl>
              <c:idx val="1"/>
              <c:layout>
                <c:manualLayout>
                  <c:x val="-8.3333333333333367E-3"/>
                  <c:y val="-5.5555555555555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1B-4337-A233-7740E1467D8E}"/>
                </c:ext>
              </c:extLst>
            </c:dLbl>
            <c:dLbl>
              <c:idx val="2"/>
              <c:layout>
                <c:manualLayout>
                  <c:x val="-1.6666666666666701E-2"/>
                  <c:y val="-9.25929571303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1B-4337-A233-7740E1467D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Synthèse!$I$1:$N$1</c:f>
              <c:strCache>
                <c:ptCount val="6"/>
                <c:pt idx="0">
                  <c:v>Zabbix</c:v>
                </c:pt>
                <c:pt idx="1">
                  <c:v>Shinken</c:v>
                </c:pt>
                <c:pt idx="2">
                  <c:v>Nimsoft</c:v>
                </c:pt>
                <c:pt idx="3">
                  <c:v>BSM</c:v>
                </c:pt>
                <c:pt idx="4">
                  <c:v>SolarWinds</c:v>
                </c:pt>
                <c:pt idx="5">
                  <c:v>EON</c:v>
                </c:pt>
              </c:strCache>
            </c:strRef>
          </c:cat>
          <c:val>
            <c:numRef>
              <c:f>Synthèse!$B$10:$G$10</c:f>
              <c:numCache>
                <c:formatCode>#,##0.00</c:formatCode>
                <c:ptCount val="6"/>
                <c:pt idx="0">
                  <c:v>14</c:v>
                </c:pt>
                <c:pt idx="1">
                  <c:v>10.8</c:v>
                </c:pt>
                <c:pt idx="2">
                  <c:v>15.2</c:v>
                </c:pt>
                <c:pt idx="3">
                  <c:v>15.4</c:v>
                </c:pt>
                <c:pt idx="4">
                  <c:v>15.2</c:v>
                </c:pt>
                <c:pt idx="5">
                  <c:v>11.200000000000001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1B-4337-A233-7740E1467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24913264"/>
        <c:axId val="373633056"/>
        <c:axId val="0"/>
      </c:bar3DChart>
      <c:catAx>
        <c:axId val="324913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3633056"/>
        <c:crosses val="autoZero"/>
        <c:auto val="1"/>
        <c:lblAlgn val="ctr"/>
        <c:lblOffset val="100"/>
        <c:noMultiLvlLbl val="0"/>
      </c:catAx>
      <c:valAx>
        <c:axId val="373633056"/>
        <c:scaling>
          <c:orientation val="minMax"/>
          <c:max val="2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324913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60960</xdr:rowOff>
        </xdr:from>
        <xdr:to>
          <xdr:col>11</xdr:col>
          <xdr:colOff>0</xdr:colOff>
          <xdr:row>3</xdr:row>
          <xdr:rowOff>99060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60960</xdr:rowOff>
        </xdr:from>
        <xdr:to>
          <xdr:col>6</xdr:col>
          <xdr:colOff>0</xdr:colOff>
          <xdr:row>3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60960</xdr:rowOff>
        </xdr:from>
        <xdr:to>
          <xdr:col>6</xdr:col>
          <xdr:colOff>0</xdr:colOff>
          <xdr:row>3</xdr:row>
          <xdr:rowOff>99060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60960</xdr:rowOff>
        </xdr:from>
        <xdr:to>
          <xdr:col>6</xdr:col>
          <xdr:colOff>0</xdr:colOff>
          <xdr:row>3</xdr:row>
          <xdr:rowOff>99060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60960</xdr:rowOff>
        </xdr:from>
        <xdr:to>
          <xdr:col>6</xdr:col>
          <xdr:colOff>0</xdr:colOff>
          <xdr:row>3</xdr:row>
          <xdr:rowOff>99060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60960</xdr:rowOff>
        </xdr:from>
        <xdr:to>
          <xdr:col>6</xdr:col>
          <xdr:colOff>0</xdr:colOff>
          <xdr:row>3</xdr:row>
          <xdr:rowOff>99060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60960</xdr:rowOff>
        </xdr:from>
        <xdr:to>
          <xdr:col>6</xdr:col>
          <xdr:colOff>0</xdr:colOff>
          <xdr:row>3</xdr:row>
          <xdr:rowOff>99060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2</xdr:row>
          <xdr:rowOff>60960</xdr:rowOff>
        </xdr:from>
        <xdr:to>
          <xdr:col>5</xdr:col>
          <xdr:colOff>411480</xdr:colOff>
          <xdr:row>3</xdr:row>
          <xdr:rowOff>99060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2</xdr:row>
          <xdr:rowOff>60960</xdr:rowOff>
        </xdr:from>
        <xdr:to>
          <xdr:col>5</xdr:col>
          <xdr:colOff>411480</xdr:colOff>
          <xdr:row>3</xdr:row>
          <xdr:rowOff>99060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question de plus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0</xdr:rowOff>
    </xdr:from>
    <xdr:to>
      <xdr:col>15</xdr:col>
      <xdr:colOff>371475</xdr:colOff>
      <xdr:row>11</xdr:row>
      <xdr:rowOff>0</xdr:rowOff>
    </xdr:to>
    <xdr:graphicFrame macro="">
      <xdr:nvGraphicFramePr>
        <xdr:cNvPr id="1127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276640</xdr:colOff>
      <xdr:row>12</xdr:row>
      <xdr:rowOff>160325</xdr:rowOff>
    </xdr:from>
    <xdr:to>
      <xdr:col>13</xdr:col>
      <xdr:colOff>772885</xdr:colOff>
      <xdr:row>43</xdr:row>
      <xdr:rowOff>152400</xdr:rowOff>
    </xdr:to>
    <xdr:graphicFrame macro="">
      <xdr:nvGraphicFramePr>
        <xdr:cNvPr id="1127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775855</xdr:colOff>
      <xdr:row>17</xdr:row>
      <xdr:rowOff>0</xdr:rowOff>
    </xdr:from>
    <xdr:to>
      <xdr:col>22</xdr:col>
      <xdr:colOff>769918</xdr:colOff>
      <xdr:row>37</xdr:row>
      <xdr:rowOff>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783771</xdr:colOff>
      <xdr:row>46</xdr:row>
      <xdr:rowOff>10885</xdr:rowOff>
    </xdr:from>
    <xdr:to>
      <xdr:col>7</xdr:col>
      <xdr:colOff>108858</xdr:colOff>
      <xdr:row>64</xdr:row>
      <xdr:rowOff>0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1578429</xdr:colOff>
      <xdr:row>46</xdr:row>
      <xdr:rowOff>0</xdr:rowOff>
    </xdr:from>
    <xdr:to>
      <xdr:col>16</xdr:col>
      <xdr:colOff>283029</xdr:colOff>
      <xdr:row>63</xdr:row>
      <xdr:rowOff>152400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46</xdr:row>
      <xdr:rowOff>0</xdr:rowOff>
    </xdr:from>
    <xdr:to>
      <xdr:col>24</xdr:col>
      <xdr:colOff>369126</xdr:colOff>
      <xdr:row>63</xdr:row>
      <xdr:rowOff>152400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66</xdr:row>
      <xdr:rowOff>0</xdr:rowOff>
    </xdr:from>
    <xdr:to>
      <xdr:col>7</xdr:col>
      <xdr:colOff>152400</xdr:colOff>
      <xdr:row>83</xdr:row>
      <xdr:rowOff>152400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16</xdr:col>
      <xdr:colOff>277091</xdr:colOff>
      <xdr:row>83</xdr:row>
      <xdr:rowOff>152400</xdr:rowOff>
    </xdr:to>
    <xdr:graphicFrame macro="">
      <xdr:nvGraphicFramePr>
        <xdr:cNvPr id="11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65</xdr:row>
      <xdr:rowOff>152399</xdr:rowOff>
    </xdr:from>
    <xdr:to>
      <xdr:col>24</xdr:col>
      <xdr:colOff>369126</xdr:colOff>
      <xdr:row>83</xdr:row>
      <xdr:rowOff>138545</xdr:rowOff>
    </xdr:to>
    <xdr:graphicFrame macro="">
      <xdr:nvGraphicFramePr>
        <xdr:cNvPr id="12" name="Graphique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13855</xdr:colOff>
      <xdr:row>86</xdr:row>
      <xdr:rowOff>0</xdr:rowOff>
    </xdr:from>
    <xdr:to>
      <xdr:col>7</xdr:col>
      <xdr:colOff>166255</xdr:colOff>
      <xdr:row>103</xdr:row>
      <xdr:rowOff>152400</xdr:rowOff>
    </xdr:to>
    <xdr:graphicFrame macro="">
      <xdr:nvGraphicFramePr>
        <xdr:cNvPr id="14" name="Graphique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86</xdr:row>
      <xdr:rowOff>0</xdr:rowOff>
    </xdr:from>
    <xdr:to>
      <xdr:col>16</xdr:col>
      <xdr:colOff>263236</xdr:colOff>
      <xdr:row>103</xdr:row>
      <xdr:rowOff>152400</xdr:rowOff>
    </xdr:to>
    <xdr:graphicFrame macro="">
      <xdr:nvGraphicFramePr>
        <xdr:cNvPr id="15" name="Graphique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13855</xdr:colOff>
      <xdr:row>86</xdr:row>
      <xdr:rowOff>13855</xdr:rowOff>
    </xdr:from>
    <xdr:to>
      <xdr:col>24</xdr:col>
      <xdr:colOff>382981</xdr:colOff>
      <xdr:row>104</xdr:row>
      <xdr:rowOff>0</xdr:rowOff>
    </xdr:to>
    <xdr:graphicFrame macro="">
      <xdr:nvGraphicFramePr>
        <xdr:cNvPr id="16" name="Graphique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42"/>
  <sheetViews>
    <sheetView showGridLines="0" tabSelected="1" zoomScaleNormal="100" workbookViewId="0">
      <pane ySplit="6" topLeftCell="A7" activePane="bottomLeft" state="frozen"/>
      <selection activeCell="C1" sqref="C1"/>
      <selection pane="bottomLeft"/>
    </sheetView>
  </sheetViews>
  <sheetFormatPr baseColWidth="10" defaultColWidth="11.44140625" defaultRowHeight="12.3"/>
  <cols>
    <col min="1" max="1" width="3.5546875" style="8" customWidth="1"/>
    <col min="2" max="2" width="46.6640625" style="8" customWidth="1"/>
    <col min="3" max="3" width="46.33203125" style="8" customWidth="1"/>
    <col min="4" max="4" width="14.5546875" style="11" bestFit="1" customWidth="1"/>
    <col min="5" max="5" width="11.6640625" style="11" customWidth="1"/>
    <col min="6" max="6" width="14.109375" style="11" bestFit="1" customWidth="1"/>
    <col min="7" max="7" width="13.33203125" style="11" bestFit="1" customWidth="1"/>
    <col min="8" max="8" width="9.5546875" style="11" bestFit="1" customWidth="1"/>
    <col min="9" max="9" width="16.88671875" style="11" bestFit="1" customWidth="1"/>
    <col min="10" max="10" width="9.44140625" style="11" bestFit="1" customWidth="1"/>
    <col min="11" max="16" width="9" style="11" customWidth="1"/>
    <col min="17" max="16384" width="11.44140625" style="8"/>
  </cols>
  <sheetData>
    <row r="1" spans="1:17" ht="18" customHeight="1">
      <c r="A1" s="42"/>
      <c r="B1" s="43" t="s">
        <v>0</v>
      </c>
      <c r="D1" s="9" t="s">
        <v>4</v>
      </c>
      <c r="E1" s="10" t="s">
        <v>5</v>
      </c>
      <c r="F1" s="10"/>
      <c r="G1" s="11" t="s">
        <v>6</v>
      </c>
      <c r="H1" s="10"/>
      <c r="I1" s="10"/>
      <c r="J1" s="10"/>
    </row>
    <row r="2" spans="1:17" ht="11.1" customHeight="1">
      <c r="D2" s="12" t="s">
        <v>2</v>
      </c>
      <c r="E2" s="10"/>
      <c r="F2" s="10"/>
      <c r="G2" s="11">
        <v>21</v>
      </c>
      <c r="H2" s="10"/>
      <c r="I2" s="10"/>
      <c r="J2" s="10"/>
    </row>
    <row r="3" spans="1:17" ht="11.1" customHeight="1">
      <c r="D3" s="12" t="s">
        <v>300</v>
      </c>
      <c r="E3" s="10"/>
      <c r="F3" s="10"/>
      <c r="G3" s="10"/>
      <c r="H3" s="10"/>
      <c r="I3" s="10"/>
      <c r="J3" s="10"/>
    </row>
    <row r="4" spans="1:17" ht="11.1" customHeight="1">
      <c r="D4" s="13" t="s">
        <v>3</v>
      </c>
      <c r="E4" s="10"/>
      <c r="F4" s="10"/>
      <c r="G4" s="10"/>
      <c r="H4" s="10"/>
      <c r="I4" s="10"/>
      <c r="J4" s="10"/>
    </row>
    <row r="6" spans="1:17" s="14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15" customFormat="1" ht="44.25" customHeight="1">
      <c r="A7" s="41">
        <f t="shared" ref="A7:A15" si="0">SUM(A6,1)</f>
        <v>1</v>
      </c>
      <c r="B7" s="40" t="s">
        <v>118</v>
      </c>
      <c r="C7" s="40" t="s">
        <v>320</v>
      </c>
      <c r="D7" s="29">
        <v>1</v>
      </c>
      <c r="E7" s="41">
        <v>5</v>
      </c>
      <c r="F7" s="41">
        <v>2</v>
      </c>
      <c r="G7" s="41">
        <v>5</v>
      </c>
      <c r="H7" s="41">
        <v>2</v>
      </c>
      <c r="I7" s="41">
        <v>2</v>
      </c>
      <c r="J7" s="41">
        <v>2</v>
      </c>
      <c r="K7" s="41">
        <f>PRODUCT(D7,E7)</f>
        <v>5</v>
      </c>
      <c r="L7" s="41">
        <f>PRODUCT(D7,F7)</f>
        <v>2</v>
      </c>
      <c r="M7" s="41">
        <f>PRODUCT(D7,G7)</f>
        <v>5</v>
      </c>
      <c r="N7" s="41">
        <f>PRODUCT(D7,H7)</f>
        <v>2</v>
      </c>
      <c r="O7" s="41">
        <f>PRODUCT(D7,I7)</f>
        <v>2</v>
      </c>
      <c r="P7" s="41">
        <f>PRODUCT(D7,J7)</f>
        <v>2</v>
      </c>
      <c r="Q7" s="15" t="s">
        <v>199</v>
      </c>
    </row>
    <row r="8" spans="1:17" s="15" customFormat="1" ht="61.5">
      <c r="A8" s="39">
        <f t="shared" si="0"/>
        <v>2</v>
      </c>
      <c r="B8" s="38" t="s">
        <v>119</v>
      </c>
      <c r="C8" s="38" t="s">
        <v>115</v>
      </c>
      <c r="D8" s="28">
        <v>2</v>
      </c>
      <c r="E8" s="41">
        <v>5</v>
      </c>
      <c r="F8" s="41">
        <v>5</v>
      </c>
      <c r="G8" s="41">
        <v>5</v>
      </c>
      <c r="H8" s="41">
        <v>5</v>
      </c>
      <c r="I8" s="41">
        <v>5</v>
      </c>
      <c r="J8" s="41">
        <v>5</v>
      </c>
      <c r="K8" s="39">
        <f t="shared" ref="K8:K15" si="1">PRODUCT(D8,E8)</f>
        <v>10</v>
      </c>
      <c r="L8" s="41">
        <f t="shared" ref="L8:L27" si="2">PRODUCT(D8,F8)</f>
        <v>10</v>
      </c>
      <c r="M8" s="41">
        <f t="shared" ref="M8:M27" si="3">PRODUCT(D8,G8)</f>
        <v>10</v>
      </c>
      <c r="N8" s="41">
        <f t="shared" ref="N8:N27" si="4">PRODUCT(D8,H8)</f>
        <v>10</v>
      </c>
      <c r="O8" s="41">
        <f t="shared" ref="O8:O27" si="5">PRODUCT(D8,I8)</f>
        <v>10</v>
      </c>
      <c r="P8" s="41">
        <f t="shared" ref="P8:P27" si="6">PRODUCT(D8,J8)</f>
        <v>10</v>
      </c>
    </row>
    <row r="9" spans="1:17" s="15" customFormat="1" ht="36.9">
      <c r="A9" s="39">
        <f t="shared" si="0"/>
        <v>3</v>
      </c>
      <c r="B9" s="38" t="s">
        <v>120</v>
      </c>
      <c r="C9" s="38" t="s">
        <v>116</v>
      </c>
      <c r="D9" s="39">
        <v>1</v>
      </c>
      <c r="E9" s="41">
        <v>3</v>
      </c>
      <c r="F9" s="41">
        <v>2</v>
      </c>
      <c r="G9" s="41">
        <v>4</v>
      </c>
      <c r="H9" s="41">
        <v>4</v>
      </c>
      <c r="I9" s="41">
        <v>4</v>
      </c>
      <c r="J9" s="41">
        <v>2</v>
      </c>
      <c r="K9" s="39">
        <f t="shared" si="1"/>
        <v>3</v>
      </c>
      <c r="L9" s="41">
        <f t="shared" si="2"/>
        <v>2</v>
      </c>
      <c r="M9" s="41">
        <f t="shared" si="3"/>
        <v>4</v>
      </c>
      <c r="N9" s="41">
        <f t="shared" si="4"/>
        <v>4</v>
      </c>
      <c r="O9" s="41">
        <f t="shared" si="5"/>
        <v>4</v>
      </c>
      <c r="P9" s="41">
        <f t="shared" si="6"/>
        <v>2</v>
      </c>
      <c r="Q9" s="15" t="s">
        <v>199</v>
      </c>
    </row>
    <row r="10" spans="1:17" s="15" customFormat="1" ht="49.2">
      <c r="A10" s="39">
        <f t="shared" si="0"/>
        <v>4</v>
      </c>
      <c r="B10" s="38" t="s">
        <v>117</v>
      </c>
      <c r="C10" s="38"/>
      <c r="D10" s="28">
        <v>2</v>
      </c>
      <c r="E10" s="41">
        <v>0</v>
      </c>
      <c r="F10" s="41">
        <v>0</v>
      </c>
      <c r="G10" s="41">
        <v>5</v>
      </c>
      <c r="H10" s="41">
        <v>4</v>
      </c>
      <c r="I10" s="41">
        <v>3</v>
      </c>
      <c r="J10" s="41">
        <v>0</v>
      </c>
      <c r="K10" s="39">
        <f t="shared" si="1"/>
        <v>0</v>
      </c>
      <c r="L10" s="41">
        <f t="shared" si="2"/>
        <v>0</v>
      </c>
      <c r="M10" s="41">
        <f t="shared" si="3"/>
        <v>10</v>
      </c>
      <c r="N10" s="41">
        <f t="shared" si="4"/>
        <v>8</v>
      </c>
      <c r="O10" s="41">
        <f t="shared" si="5"/>
        <v>6</v>
      </c>
      <c r="P10" s="41">
        <f t="shared" si="6"/>
        <v>0</v>
      </c>
    </row>
    <row r="11" spans="1:17" s="15" customFormat="1" ht="49.2">
      <c r="A11" s="39">
        <f t="shared" si="0"/>
        <v>5</v>
      </c>
      <c r="B11" s="38" t="s">
        <v>121</v>
      </c>
      <c r="C11" s="38" t="s">
        <v>122</v>
      </c>
      <c r="D11" s="28">
        <v>1</v>
      </c>
      <c r="E11" s="41">
        <v>5</v>
      </c>
      <c r="F11" s="41">
        <v>5</v>
      </c>
      <c r="G11" s="41">
        <v>5</v>
      </c>
      <c r="H11" s="41">
        <v>5</v>
      </c>
      <c r="I11" s="41">
        <v>5</v>
      </c>
      <c r="J11" s="41">
        <v>5</v>
      </c>
      <c r="K11" s="39">
        <f t="shared" si="1"/>
        <v>5</v>
      </c>
      <c r="L11" s="41">
        <f t="shared" si="2"/>
        <v>5</v>
      </c>
      <c r="M11" s="41">
        <f t="shared" si="3"/>
        <v>5</v>
      </c>
      <c r="N11" s="41">
        <f t="shared" si="4"/>
        <v>5</v>
      </c>
      <c r="O11" s="41">
        <f t="shared" si="5"/>
        <v>5</v>
      </c>
      <c r="P11" s="41">
        <f t="shared" si="6"/>
        <v>5</v>
      </c>
    </row>
    <row r="12" spans="1:17" s="15" customFormat="1" ht="38.1" customHeight="1">
      <c r="A12" s="39">
        <f t="shared" si="0"/>
        <v>6</v>
      </c>
      <c r="B12" s="38" t="s">
        <v>124</v>
      </c>
      <c r="C12" s="38"/>
      <c r="D12" s="28">
        <v>2</v>
      </c>
      <c r="E12" s="41">
        <v>5</v>
      </c>
      <c r="F12" s="41">
        <v>5</v>
      </c>
      <c r="G12" s="41">
        <v>5</v>
      </c>
      <c r="H12" s="41">
        <v>5</v>
      </c>
      <c r="I12" s="41">
        <v>5</v>
      </c>
      <c r="J12" s="41">
        <v>5</v>
      </c>
      <c r="K12" s="39">
        <f t="shared" si="1"/>
        <v>10</v>
      </c>
      <c r="L12" s="41">
        <f t="shared" si="2"/>
        <v>10</v>
      </c>
      <c r="M12" s="41">
        <f t="shared" si="3"/>
        <v>10</v>
      </c>
      <c r="N12" s="41">
        <f t="shared" si="4"/>
        <v>10</v>
      </c>
      <c r="O12" s="41">
        <f t="shared" si="5"/>
        <v>10</v>
      </c>
      <c r="P12" s="41">
        <f t="shared" si="6"/>
        <v>10</v>
      </c>
    </row>
    <row r="13" spans="1:17" s="15" customFormat="1" ht="38.1" customHeight="1">
      <c r="A13" s="39">
        <f t="shared" si="0"/>
        <v>7</v>
      </c>
      <c r="B13" s="38" t="s">
        <v>123</v>
      </c>
      <c r="C13" s="38" t="s">
        <v>321</v>
      </c>
      <c r="D13" s="28">
        <v>3</v>
      </c>
      <c r="E13" s="41">
        <v>5</v>
      </c>
      <c r="F13" s="41">
        <v>5</v>
      </c>
      <c r="G13" s="41">
        <v>5</v>
      </c>
      <c r="H13" s="41">
        <v>5</v>
      </c>
      <c r="I13" s="41">
        <v>5</v>
      </c>
      <c r="J13" s="41">
        <v>5</v>
      </c>
      <c r="K13" s="39">
        <f t="shared" si="1"/>
        <v>15</v>
      </c>
      <c r="L13" s="41">
        <f t="shared" si="2"/>
        <v>15</v>
      </c>
      <c r="M13" s="41">
        <f t="shared" si="3"/>
        <v>15</v>
      </c>
      <c r="N13" s="41">
        <f t="shared" si="4"/>
        <v>15</v>
      </c>
      <c r="O13" s="41">
        <f t="shared" si="5"/>
        <v>15</v>
      </c>
      <c r="P13" s="41">
        <f t="shared" si="6"/>
        <v>15</v>
      </c>
    </row>
    <row r="14" spans="1:17" s="15" customFormat="1" ht="38.1" customHeight="1">
      <c r="A14" s="39">
        <f t="shared" si="0"/>
        <v>8</v>
      </c>
      <c r="B14" s="38" t="s">
        <v>125</v>
      </c>
      <c r="C14" s="38" t="s">
        <v>253</v>
      </c>
      <c r="D14" s="39">
        <v>2</v>
      </c>
      <c r="E14" s="41">
        <v>5</v>
      </c>
      <c r="F14" s="41">
        <v>5</v>
      </c>
      <c r="G14" s="41">
        <v>5</v>
      </c>
      <c r="H14" s="41">
        <v>5</v>
      </c>
      <c r="I14" s="41">
        <v>5</v>
      </c>
      <c r="J14" s="41">
        <v>5</v>
      </c>
      <c r="K14" s="39">
        <f t="shared" si="1"/>
        <v>10</v>
      </c>
      <c r="L14" s="41">
        <f t="shared" si="2"/>
        <v>10</v>
      </c>
      <c r="M14" s="41">
        <f t="shared" si="3"/>
        <v>10</v>
      </c>
      <c r="N14" s="41">
        <f t="shared" si="4"/>
        <v>10</v>
      </c>
      <c r="O14" s="41">
        <f t="shared" si="5"/>
        <v>10</v>
      </c>
      <c r="P14" s="41">
        <f t="shared" si="6"/>
        <v>10</v>
      </c>
    </row>
    <row r="15" spans="1:17" s="15" customFormat="1" ht="38.1" customHeight="1">
      <c r="A15" s="39">
        <f t="shared" si="0"/>
        <v>9</v>
      </c>
      <c r="B15" s="38" t="s">
        <v>252</v>
      </c>
      <c r="C15" s="38" t="s">
        <v>126</v>
      </c>
      <c r="D15" s="39">
        <v>1</v>
      </c>
      <c r="E15" s="41">
        <v>3</v>
      </c>
      <c r="F15" s="41">
        <v>5</v>
      </c>
      <c r="G15" s="41">
        <v>4</v>
      </c>
      <c r="H15" s="41">
        <v>3</v>
      </c>
      <c r="I15" s="41">
        <v>4</v>
      </c>
      <c r="J15" s="41">
        <v>0</v>
      </c>
      <c r="K15" s="39">
        <f t="shared" si="1"/>
        <v>3</v>
      </c>
      <c r="L15" s="41">
        <f t="shared" si="2"/>
        <v>5</v>
      </c>
      <c r="M15" s="41">
        <f t="shared" si="3"/>
        <v>4</v>
      </c>
      <c r="N15" s="41">
        <f t="shared" si="4"/>
        <v>3</v>
      </c>
      <c r="O15" s="41">
        <f t="shared" si="5"/>
        <v>4</v>
      </c>
      <c r="P15" s="41">
        <f t="shared" si="6"/>
        <v>0</v>
      </c>
    </row>
    <row r="16" spans="1:17" s="15" customFormat="1" ht="49.2">
      <c r="A16" s="39">
        <f t="shared" ref="A16:A27" si="7">SUM(A15,1)</f>
        <v>10</v>
      </c>
      <c r="B16" s="38" t="s">
        <v>128</v>
      </c>
      <c r="C16" s="38" t="s">
        <v>127</v>
      </c>
      <c r="D16" s="39">
        <v>1</v>
      </c>
      <c r="E16" s="41">
        <v>0</v>
      </c>
      <c r="F16" s="41">
        <v>5</v>
      </c>
      <c r="G16" s="41">
        <v>0</v>
      </c>
      <c r="H16" s="41">
        <v>0</v>
      </c>
      <c r="I16" s="41">
        <v>0</v>
      </c>
      <c r="J16" s="41">
        <v>0</v>
      </c>
      <c r="K16" s="39">
        <f t="shared" ref="K16:K27" si="8">PRODUCT(D16,E16)</f>
        <v>0</v>
      </c>
      <c r="L16" s="41">
        <f t="shared" si="2"/>
        <v>5</v>
      </c>
      <c r="M16" s="41">
        <f t="shared" si="3"/>
        <v>0</v>
      </c>
      <c r="N16" s="41">
        <f t="shared" si="4"/>
        <v>0</v>
      </c>
      <c r="O16" s="41">
        <f t="shared" si="5"/>
        <v>0</v>
      </c>
      <c r="P16" s="41">
        <f t="shared" si="6"/>
        <v>0</v>
      </c>
    </row>
    <row r="17" spans="1:17" s="15" customFormat="1" ht="61.5">
      <c r="A17" s="39">
        <f t="shared" si="7"/>
        <v>11</v>
      </c>
      <c r="B17" s="38" t="s">
        <v>129</v>
      </c>
      <c r="C17" s="38" t="s">
        <v>130</v>
      </c>
      <c r="D17" s="39">
        <v>1</v>
      </c>
      <c r="E17" s="41">
        <v>3</v>
      </c>
      <c r="F17" s="41">
        <v>5</v>
      </c>
      <c r="G17" s="41">
        <v>3</v>
      </c>
      <c r="H17" s="41">
        <v>3</v>
      </c>
      <c r="I17" s="41">
        <v>3</v>
      </c>
      <c r="J17" s="41">
        <v>0</v>
      </c>
      <c r="K17" s="39">
        <f t="shared" si="8"/>
        <v>3</v>
      </c>
      <c r="L17" s="41">
        <f t="shared" si="2"/>
        <v>5</v>
      </c>
      <c r="M17" s="41">
        <f t="shared" si="3"/>
        <v>3</v>
      </c>
      <c r="N17" s="41">
        <f t="shared" si="4"/>
        <v>3</v>
      </c>
      <c r="O17" s="41">
        <f t="shared" si="5"/>
        <v>3</v>
      </c>
      <c r="P17" s="41">
        <f t="shared" si="6"/>
        <v>0</v>
      </c>
    </row>
    <row r="18" spans="1:17" s="15" customFormat="1" ht="38.1" customHeight="1">
      <c r="A18" s="39">
        <f t="shared" si="7"/>
        <v>12</v>
      </c>
      <c r="B18" s="38" t="s">
        <v>254</v>
      </c>
      <c r="C18" s="38" t="s">
        <v>131</v>
      </c>
      <c r="D18" s="39">
        <v>3</v>
      </c>
      <c r="E18" s="41">
        <v>5</v>
      </c>
      <c r="F18" s="41">
        <v>5</v>
      </c>
      <c r="G18" s="41">
        <v>5</v>
      </c>
      <c r="H18" s="41">
        <v>5</v>
      </c>
      <c r="I18" s="41">
        <v>5</v>
      </c>
      <c r="J18" s="41">
        <v>5</v>
      </c>
      <c r="K18" s="39">
        <f t="shared" si="8"/>
        <v>15</v>
      </c>
      <c r="L18" s="41">
        <f t="shared" si="2"/>
        <v>15</v>
      </c>
      <c r="M18" s="41">
        <f t="shared" si="3"/>
        <v>15</v>
      </c>
      <c r="N18" s="41">
        <f t="shared" si="4"/>
        <v>15</v>
      </c>
      <c r="O18" s="41">
        <f t="shared" si="5"/>
        <v>15</v>
      </c>
      <c r="P18" s="41">
        <f t="shared" si="6"/>
        <v>15</v>
      </c>
      <c r="Q18" s="15" t="s">
        <v>199</v>
      </c>
    </row>
    <row r="19" spans="1:17" s="15" customFormat="1" ht="38.1" customHeight="1">
      <c r="A19" s="39">
        <f t="shared" si="7"/>
        <v>13</v>
      </c>
      <c r="B19" s="38" t="s">
        <v>255</v>
      </c>
      <c r="C19" s="38" t="s">
        <v>322</v>
      </c>
      <c r="D19" s="28">
        <v>3</v>
      </c>
      <c r="E19" s="41">
        <v>4</v>
      </c>
      <c r="F19" s="41">
        <v>5</v>
      </c>
      <c r="G19" s="41">
        <v>4</v>
      </c>
      <c r="H19" s="41">
        <v>4</v>
      </c>
      <c r="I19" s="41">
        <v>4</v>
      </c>
      <c r="J19" s="41">
        <v>2</v>
      </c>
      <c r="K19" s="39">
        <f t="shared" si="8"/>
        <v>12</v>
      </c>
      <c r="L19" s="41">
        <f t="shared" si="2"/>
        <v>15</v>
      </c>
      <c r="M19" s="41">
        <f t="shared" si="3"/>
        <v>12</v>
      </c>
      <c r="N19" s="41">
        <f t="shared" si="4"/>
        <v>12</v>
      </c>
      <c r="O19" s="41">
        <f t="shared" si="5"/>
        <v>12</v>
      </c>
      <c r="P19" s="41">
        <f t="shared" si="6"/>
        <v>6</v>
      </c>
      <c r="Q19" s="15" t="s">
        <v>199</v>
      </c>
    </row>
    <row r="20" spans="1:17" s="15" customFormat="1" ht="24.6">
      <c r="A20" s="39">
        <f t="shared" si="7"/>
        <v>14</v>
      </c>
      <c r="B20" s="38" t="s">
        <v>133</v>
      </c>
      <c r="C20" s="38" t="s">
        <v>132</v>
      </c>
      <c r="D20" s="39">
        <v>1</v>
      </c>
      <c r="E20" s="41">
        <v>0</v>
      </c>
      <c r="F20" s="41">
        <v>5</v>
      </c>
      <c r="G20" s="41">
        <v>0</v>
      </c>
      <c r="H20" s="41">
        <v>0</v>
      </c>
      <c r="I20" s="41">
        <v>0</v>
      </c>
      <c r="J20" s="41">
        <v>0</v>
      </c>
      <c r="K20" s="39">
        <f t="shared" si="8"/>
        <v>0</v>
      </c>
      <c r="L20" s="41">
        <f t="shared" si="2"/>
        <v>5</v>
      </c>
      <c r="M20" s="41">
        <f t="shared" si="3"/>
        <v>0</v>
      </c>
      <c r="N20" s="41">
        <f t="shared" si="4"/>
        <v>0</v>
      </c>
      <c r="O20" s="41">
        <f t="shared" si="5"/>
        <v>0</v>
      </c>
      <c r="P20" s="41">
        <f t="shared" si="6"/>
        <v>0</v>
      </c>
    </row>
    <row r="21" spans="1:17" s="61" customFormat="1" ht="24.6">
      <c r="A21" s="55">
        <f t="shared" si="7"/>
        <v>15</v>
      </c>
      <c r="B21" s="56" t="s">
        <v>134</v>
      </c>
      <c r="C21" s="56" t="s">
        <v>136</v>
      </c>
      <c r="D21" s="55">
        <v>1</v>
      </c>
      <c r="E21" s="55">
        <v>5</v>
      </c>
      <c r="F21" s="55">
        <v>5</v>
      </c>
      <c r="G21" s="55">
        <v>5</v>
      </c>
      <c r="H21" s="55">
        <v>5</v>
      </c>
      <c r="I21" s="55">
        <v>5</v>
      </c>
      <c r="J21" s="55">
        <v>5</v>
      </c>
      <c r="K21" s="55">
        <f t="shared" si="8"/>
        <v>5</v>
      </c>
      <c r="L21" s="55">
        <f t="shared" si="2"/>
        <v>5</v>
      </c>
      <c r="M21" s="55">
        <f t="shared" si="3"/>
        <v>5</v>
      </c>
      <c r="N21" s="55">
        <f t="shared" si="4"/>
        <v>5</v>
      </c>
      <c r="O21" s="55">
        <f t="shared" si="5"/>
        <v>5</v>
      </c>
      <c r="P21" s="55">
        <f t="shared" si="6"/>
        <v>5</v>
      </c>
    </row>
    <row r="22" spans="1:17" s="61" customFormat="1" ht="38.1" customHeight="1">
      <c r="A22" s="55">
        <f>SUM(A21,1)</f>
        <v>16</v>
      </c>
      <c r="B22" s="56" t="s">
        <v>135</v>
      </c>
      <c r="C22" s="56" t="s">
        <v>29</v>
      </c>
      <c r="D22" s="55">
        <v>2</v>
      </c>
      <c r="E22" s="55">
        <v>5</v>
      </c>
      <c r="F22" s="55">
        <v>5</v>
      </c>
      <c r="G22" s="55">
        <v>5</v>
      </c>
      <c r="H22" s="55">
        <v>5</v>
      </c>
      <c r="I22" s="55">
        <v>5</v>
      </c>
      <c r="J22" s="55">
        <v>5</v>
      </c>
      <c r="K22" s="55">
        <f t="shared" si="8"/>
        <v>10</v>
      </c>
      <c r="L22" s="55">
        <f t="shared" si="2"/>
        <v>10</v>
      </c>
      <c r="M22" s="55">
        <f t="shared" si="3"/>
        <v>10</v>
      </c>
      <c r="N22" s="55">
        <f t="shared" si="4"/>
        <v>10</v>
      </c>
      <c r="O22" s="55">
        <f t="shared" si="5"/>
        <v>10</v>
      </c>
      <c r="P22" s="55">
        <f t="shared" si="6"/>
        <v>10</v>
      </c>
    </row>
    <row r="23" spans="1:17" s="61" customFormat="1" ht="36.9">
      <c r="A23" s="55">
        <f t="shared" si="7"/>
        <v>17</v>
      </c>
      <c r="B23" s="56" t="s">
        <v>137</v>
      </c>
      <c r="C23" s="56" t="s">
        <v>138</v>
      </c>
      <c r="D23" s="55">
        <v>1</v>
      </c>
      <c r="E23" s="55">
        <v>0</v>
      </c>
      <c r="F23" s="55">
        <v>0</v>
      </c>
      <c r="G23" s="55">
        <v>5</v>
      </c>
      <c r="H23" s="55">
        <v>5</v>
      </c>
      <c r="I23" s="55">
        <v>0</v>
      </c>
      <c r="J23" s="55">
        <v>0</v>
      </c>
      <c r="K23" s="55">
        <f t="shared" si="8"/>
        <v>0</v>
      </c>
      <c r="L23" s="55">
        <f t="shared" si="2"/>
        <v>0</v>
      </c>
      <c r="M23" s="55">
        <f t="shared" si="3"/>
        <v>5</v>
      </c>
      <c r="N23" s="55">
        <f t="shared" si="4"/>
        <v>5</v>
      </c>
      <c r="O23" s="55">
        <f t="shared" si="5"/>
        <v>0</v>
      </c>
      <c r="P23" s="55">
        <f t="shared" si="6"/>
        <v>0</v>
      </c>
      <c r="Q23" s="61" t="s">
        <v>199</v>
      </c>
    </row>
    <row r="24" spans="1:17" s="61" customFormat="1" ht="36.9">
      <c r="A24" s="55">
        <f t="shared" si="7"/>
        <v>18</v>
      </c>
      <c r="B24" s="56" t="s">
        <v>139</v>
      </c>
      <c r="C24" s="56" t="s">
        <v>30</v>
      </c>
      <c r="D24" s="55">
        <v>1</v>
      </c>
      <c r="E24" s="55">
        <v>5</v>
      </c>
      <c r="F24" s="55">
        <v>5</v>
      </c>
      <c r="G24" s="55">
        <v>3</v>
      </c>
      <c r="H24" s="55">
        <v>3</v>
      </c>
      <c r="I24" s="55">
        <v>0</v>
      </c>
      <c r="J24" s="55">
        <v>5</v>
      </c>
      <c r="K24" s="55">
        <f t="shared" si="8"/>
        <v>5</v>
      </c>
      <c r="L24" s="55">
        <f t="shared" si="2"/>
        <v>5</v>
      </c>
      <c r="M24" s="55">
        <f t="shared" si="3"/>
        <v>3</v>
      </c>
      <c r="N24" s="55">
        <f t="shared" si="4"/>
        <v>3</v>
      </c>
      <c r="O24" s="55">
        <f t="shared" si="5"/>
        <v>0</v>
      </c>
      <c r="P24" s="55">
        <f t="shared" si="6"/>
        <v>5</v>
      </c>
    </row>
    <row r="25" spans="1:17" s="15" customFormat="1" ht="36.9">
      <c r="A25" s="41">
        <f t="shared" si="7"/>
        <v>19</v>
      </c>
      <c r="B25" s="40" t="s">
        <v>140</v>
      </c>
      <c r="C25" s="40" t="s">
        <v>31</v>
      </c>
      <c r="D25" s="41">
        <v>3</v>
      </c>
      <c r="E25" s="41">
        <v>3</v>
      </c>
      <c r="F25" s="41">
        <v>3</v>
      </c>
      <c r="G25" s="41">
        <v>3</v>
      </c>
      <c r="H25" s="41">
        <v>3</v>
      </c>
      <c r="I25" s="41">
        <v>3</v>
      </c>
      <c r="J25" s="41">
        <v>3</v>
      </c>
      <c r="K25" s="41">
        <f t="shared" si="8"/>
        <v>9</v>
      </c>
      <c r="L25" s="41">
        <f t="shared" si="2"/>
        <v>9</v>
      </c>
      <c r="M25" s="41">
        <f t="shared" si="3"/>
        <v>9</v>
      </c>
      <c r="N25" s="41">
        <f t="shared" si="4"/>
        <v>9</v>
      </c>
      <c r="O25" s="41">
        <f t="shared" si="5"/>
        <v>9</v>
      </c>
      <c r="P25" s="41">
        <f t="shared" si="6"/>
        <v>9</v>
      </c>
    </row>
    <row r="26" spans="1:17" s="15" customFormat="1" ht="38.1" customHeight="1">
      <c r="A26" s="41">
        <f t="shared" si="7"/>
        <v>20</v>
      </c>
      <c r="B26" s="40" t="s">
        <v>141</v>
      </c>
      <c r="C26" s="40" t="s">
        <v>32</v>
      </c>
      <c r="D26" s="41">
        <v>2</v>
      </c>
      <c r="E26" s="41">
        <v>5</v>
      </c>
      <c r="F26" s="41">
        <v>5</v>
      </c>
      <c r="G26" s="41">
        <v>5</v>
      </c>
      <c r="H26" s="41">
        <v>5</v>
      </c>
      <c r="I26" s="41">
        <v>5</v>
      </c>
      <c r="J26" s="41">
        <v>5</v>
      </c>
      <c r="K26" s="41">
        <f t="shared" si="8"/>
        <v>10</v>
      </c>
      <c r="L26" s="41">
        <f t="shared" si="2"/>
        <v>10</v>
      </c>
      <c r="M26" s="41">
        <f t="shared" si="3"/>
        <v>10</v>
      </c>
      <c r="N26" s="41">
        <f t="shared" si="4"/>
        <v>10</v>
      </c>
      <c r="O26" s="41">
        <f t="shared" si="5"/>
        <v>10</v>
      </c>
      <c r="P26" s="41">
        <f t="shared" si="6"/>
        <v>10</v>
      </c>
    </row>
    <row r="27" spans="1:17" s="61" customFormat="1" ht="24.6">
      <c r="A27" s="55">
        <f t="shared" si="7"/>
        <v>21</v>
      </c>
      <c r="B27" s="56" t="s">
        <v>250</v>
      </c>
      <c r="C27" s="56" t="s">
        <v>251</v>
      </c>
      <c r="D27" s="55">
        <v>1</v>
      </c>
      <c r="E27" s="55">
        <v>0</v>
      </c>
      <c r="F27" s="55">
        <v>0</v>
      </c>
      <c r="G27" s="55">
        <v>0</v>
      </c>
      <c r="H27" s="55">
        <v>5</v>
      </c>
      <c r="I27" s="55">
        <v>0</v>
      </c>
      <c r="J27" s="55">
        <v>0</v>
      </c>
      <c r="K27" s="55">
        <f t="shared" si="8"/>
        <v>0</v>
      </c>
      <c r="L27" s="55">
        <f t="shared" si="2"/>
        <v>0</v>
      </c>
      <c r="M27" s="55">
        <f t="shared" si="3"/>
        <v>0</v>
      </c>
      <c r="N27" s="55">
        <f t="shared" si="4"/>
        <v>5</v>
      </c>
      <c r="O27" s="55">
        <f t="shared" si="5"/>
        <v>0</v>
      </c>
      <c r="P27" s="55">
        <f t="shared" si="6"/>
        <v>0</v>
      </c>
    </row>
    <row r="28" spans="1:17">
      <c r="C28" s="11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</row>
    <row r="29" spans="1:17">
      <c r="C29" s="11"/>
      <c r="D29" s="49" t="s">
        <v>10</v>
      </c>
      <c r="E29" s="8"/>
      <c r="F29" s="8"/>
      <c r="G29" s="8"/>
      <c r="H29" s="8"/>
      <c r="I29" s="8"/>
      <c r="J29" s="8"/>
      <c r="K29" s="49" t="s">
        <v>11</v>
      </c>
      <c r="L29" s="49" t="s">
        <v>11</v>
      </c>
      <c r="M29" s="49" t="s">
        <v>11</v>
      </c>
      <c r="N29" s="49" t="s">
        <v>11</v>
      </c>
      <c r="O29" s="49" t="s">
        <v>11</v>
      </c>
      <c r="P29" s="49" t="s">
        <v>11</v>
      </c>
    </row>
    <row r="30" spans="1:17">
      <c r="C30" s="11"/>
      <c r="D30" s="39">
        <f>SUM(D7:D28) *5</f>
        <v>175</v>
      </c>
      <c r="E30" s="8"/>
      <c r="F30" s="8"/>
      <c r="G30" s="8"/>
      <c r="H30" s="8"/>
      <c r="I30" s="8"/>
      <c r="J30" s="8"/>
      <c r="K30" s="39">
        <f t="shared" ref="K30:P30" si="9">SUM(K7:K28)</f>
        <v>130</v>
      </c>
      <c r="L30" s="39">
        <f t="shared" si="9"/>
        <v>143</v>
      </c>
      <c r="M30" s="39">
        <f t="shared" si="9"/>
        <v>145</v>
      </c>
      <c r="N30" s="39">
        <f t="shared" si="9"/>
        <v>144</v>
      </c>
      <c r="O30" s="39">
        <f t="shared" si="9"/>
        <v>130</v>
      </c>
      <c r="P30" s="39">
        <f t="shared" si="9"/>
        <v>114</v>
      </c>
    </row>
    <row r="32" spans="1:17">
      <c r="D32" s="49" t="s">
        <v>12</v>
      </c>
      <c r="K32" s="49" t="s">
        <v>12</v>
      </c>
      <c r="L32" s="49" t="s">
        <v>12</v>
      </c>
      <c r="M32" s="49" t="s">
        <v>12</v>
      </c>
      <c r="N32" s="49" t="s">
        <v>12</v>
      </c>
      <c r="O32" s="49" t="s">
        <v>12</v>
      </c>
      <c r="P32" s="49" t="s">
        <v>12</v>
      </c>
    </row>
    <row r="33" spans="2:16">
      <c r="D33" s="39">
        <f>PRODUCT(D30,1/G2)</f>
        <v>8.3333333333333321</v>
      </c>
      <c r="K33" s="39">
        <f>PRODUCT(K30,1/G2)</f>
        <v>6.1904761904761898</v>
      </c>
      <c r="L33" s="39">
        <f>PRODUCT(L30,1/G2)</f>
        <v>6.8095238095238093</v>
      </c>
      <c r="M33" s="39">
        <f>PRODUCT(M30,1/G2)</f>
        <v>6.9047619047619042</v>
      </c>
      <c r="N33" s="39">
        <f>PRODUCT(N30,1/G2)</f>
        <v>6.8571428571428568</v>
      </c>
      <c r="O33" s="39">
        <f>PRODUCT(O30,1/G2)</f>
        <v>6.1904761904761898</v>
      </c>
      <c r="P33" s="39">
        <f>PRODUCT(P30,1/G2)</f>
        <v>5.4285714285714279</v>
      </c>
    </row>
    <row r="34" spans="2:16">
      <c r="B34" s="17"/>
    </row>
    <row r="42" spans="2:16">
      <c r="B42" s="16"/>
    </row>
  </sheetData>
  <phoneticPr fontId="4" type="noConversion"/>
  <pageMargins left="0.78740157480314965" right="0.78740157480314965" top="0.98425196850393704" bottom="0.98425196850393704" header="0.51181102362204722" footer="0.51181102362204722"/>
  <pageSetup paperSize="9" scale="4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45720</xdr:colOff>
                    <xdr:row>2</xdr:row>
                    <xdr:rowOff>60960</xdr:rowOff>
                  </from>
                  <to>
                    <xdr:col>11</xdr:col>
                    <xdr:colOff>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25"/>
  <sheetViews>
    <sheetView showGridLines="0" zoomScaleNormal="100" workbookViewId="0">
      <pane ySplit="6" topLeftCell="A7" activePane="bottomLeft" state="frozen"/>
      <selection activeCell="C1" sqref="C1"/>
      <selection pane="bottomLeft" activeCell="J12" activeCellId="3" sqref="J8 J10 J11 J12"/>
    </sheetView>
  </sheetViews>
  <sheetFormatPr baseColWidth="10" defaultColWidth="11.44140625" defaultRowHeight="12.3"/>
  <cols>
    <col min="1" max="1" width="3.5546875" style="8" customWidth="1"/>
    <col min="2" max="2" width="46.6640625" style="8" customWidth="1"/>
    <col min="3" max="3" width="46.33203125" style="8" customWidth="1"/>
    <col min="4" max="4" width="20.33203125" style="11" customWidth="1"/>
    <col min="5" max="17" width="9" style="11" customWidth="1"/>
    <col min="18" max="16384" width="11.44140625" style="8"/>
  </cols>
  <sheetData>
    <row r="1" spans="1:17" ht="18" customHeight="1">
      <c r="A1" s="42"/>
      <c r="B1" s="43" t="s">
        <v>24</v>
      </c>
      <c r="D1" s="9" t="s">
        <v>4</v>
      </c>
      <c r="E1" s="10" t="s">
        <v>5</v>
      </c>
      <c r="G1" s="11" t="s">
        <v>6</v>
      </c>
    </row>
    <row r="2" spans="1:17" ht="10.95" customHeight="1">
      <c r="D2" s="12" t="s">
        <v>2</v>
      </c>
      <c r="E2" s="10"/>
      <c r="G2" s="11">
        <v>8</v>
      </c>
    </row>
    <row r="3" spans="1:17" ht="11.1" customHeight="1">
      <c r="D3" s="12" t="s">
        <v>300</v>
      </c>
      <c r="E3" s="10"/>
    </row>
    <row r="4" spans="1:17" ht="11.1" customHeight="1">
      <c r="D4" s="13" t="s">
        <v>3</v>
      </c>
      <c r="E4" s="10"/>
    </row>
    <row r="6" spans="1:17" s="14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15" customFormat="1" ht="36.9">
      <c r="A7" s="55">
        <f t="shared" ref="A7:A14" si="0">SUM(A6,1)</f>
        <v>1</v>
      </c>
      <c r="B7" s="56" t="s">
        <v>142</v>
      </c>
      <c r="C7" s="56" t="s">
        <v>256</v>
      </c>
      <c r="D7" s="55">
        <v>1</v>
      </c>
      <c r="E7" s="55">
        <v>5</v>
      </c>
      <c r="F7" s="55">
        <v>5</v>
      </c>
      <c r="G7" s="55">
        <v>5</v>
      </c>
      <c r="H7" s="55">
        <v>5</v>
      </c>
      <c r="I7" s="55">
        <v>5</v>
      </c>
      <c r="J7" s="55">
        <v>5</v>
      </c>
      <c r="K7" s="55">
        <f t="shared" ref="K7:K14" si="1">PRODUCT(D7,E7)</f>
        <v>5</v>
      </c>
      <c r="L7" s="55">
        <f t="shared" ref="L7:L14" si="2">PRODUCT(D7,F7)</f>
        <v>5</v>
      </c>
      <c r="M7" s="55">
        <f t="shared" ref="M7:M14" si="3">PRODUCT(D7,G7)</f>
        <v>5</v>
      </c>
      <c r="N7" s="55">
        <f t="shared" ref="N7:N14" si="4">PRODUCT(D7,H7)</f>
        <v>5</v>
      </c>
      <c r="O7" s="55">
        <f t="shared" ref="O7:O14" si="5">PRODUCT(D7,I7)</f>
        <v>5</v>
      </c>
      <c r="P7" s="55">
        <f t="shared" ref="P7:P14" si="6">PRODUCT(D7,J7)</f>
        <v>5</v>
      </c>
      <c r="Q7" s="15" t="s">
        <v>199</v>
      </c>
    </row>
    <row r="8" spans="1:17" s="15" customFormat="1" ht="38.1" customHeight="1">
      <c r="A8" s="57">
        <f t="shared" si="0"/>
        <v>2</v>
      </c>
      <c r="B8" s="56" t="s">
        <v>143</v>
      </c>
      <c r="C8" s="56" t="s">
        <v>144</v>
      </c>
      <c r="D8" s="55">
        <v>3</v>
      </c>
      <c r="E8" s="55">
        <v>4</v>
      </c>
      <c r="F8" s="55">
        <v>4</v>
      </c>
      <c r="G8" s="55">
        <v>5</v>
      </c>
      <c r="H8" s="55">
        <v>5</v>
      </c>
      <c r="I8" s="55">
        <v>4</v>
      </c>
      <c r="J8" s="55">
        <v>4</v>
      </c>
      <c r="K8" s="55">
        <f t="shared" si="1"/>
        <v>12</v>
      </c>
      <c r="L8" s="55">
        <f t="shared" si="2"/>
        <v>12</v>
      </c>
      <c r="M8" s="55">
        <f t="shared" si="3"/>
        <v>15</v>
      </c>
      <c r="N8" s="55">
        <f t="shared" si="4"/>
        <v>15</v>
      </c>
      <c r="O8" s="55">
        <f t="shared" si="5"/>
        <v>12</v>
      </c>
      <c r="P8" s="55">
        <f t="shared" si="6"/>
        <v>12</v>
      </c>
    </row>
    <row r="9" spans="1:17" s="15" customFormat="1" ht="24.75" customHeight="1">
      <c r="A9" s="57">
        <f t="shared" si="0"/>
        <v>3</v>
      </c>
      <c r="B9" s="56" t="s">
        <v>33</v>
      </c>
      <c r="C9" s="56"/>
      <c r="D9" s="55">
        <v>1</v>
      </c>
      <c r="E9" s="55">
        <v>5</v>
      </c>
      <c r="F9" s="55">
        <v>5</v>
      </c>
      <c r="G9" s="55">
        <v>5</v>
      </c>
      <c r="H9" s="55">
        <v>5</v>
      </c>
      <c r="I9" s="55">
        <v>5</v>
      </c>
      <c r="J9" s="55">
        <v>5</v>
      </c>
      <c r="K9" s="55">
        <f t="shared" si="1"/>
        <v>5</v>
      </c>
      <c r="L9" s="55">
        <f t="shared" si="2"/>
        <v>5</v>
      </c>
      <c r="M9" s="55">
        <f t="shared" si="3"/>
        <v>5</v>
      </c>
      <c r="N9" s="55">
        <f t="shared" si="4"/>
        <v>5</v>
      </c>
      <c r="O9" s="55">
        <f t="shared" si="5"/>
        <v>5</v>
      </c>
      <c r="P9" s="55">
        <f t="shared" si="6"/>
        <v>5</v>
      </c>
      <c r="Q9" s="15" t="s">
        <v>199</v>
      </c>
    </row>
    <row r="10" spans="1:17" s="15" customFormat="1" ht="24.6">
      <c r="A10" s="57">
        <f t="shared" si="0"/>
        <v>4</v>
      </c>
      <c r="B10" s="56" t="s">
        <v>297</v>
      </c>
      <c r="C10" s="56" t="s">
        <v>303</v>
      </c>
      <c r="D10" s="55">
        <v>3</v>
      </c>
      <c r="E10" s="55">
        <v>5</v>
      </c>
      <c r="F10" s="55">
        <v>2</v>
      </c>
      <c r="G10" s="55">
        <v>4</v>
      </c>
      <c r="H10" s="55">
        <v>3</v>
      </c>
      <c r="I10" s="55">
        <v>2</v>
      </c>
      <c r="J10" s="55">
        <v>2</v>
      </c>
      <c r="K10" s="55">
        <f t="shared" si="1"/>
        <v>15</v>
      </c>
      <c r="L10" s="55">
        <f t="shared" si="2"/>
        <v>6</v>
      </c>
      <c r="M10" s="55">
        <f t="shared" si="3"/>
        <v>12</v>
      </c>
      <c r="N10" s="55">
        <f t="shared" si="4"/>
        <v>9</v>
      </c>
      <c r="O10" s="55">
        <f t="shared" si="5"/>
        <v>6</v>
      </c>
      <c r="P10" s="55">
        <f t="shared" si="6"/>
        <v>6</v>
      </c>
    </row>
    <row r="11" spans="1:17" s="15" customFormat="1" ht="49.2" customHeight="1">
      <c r="A11" s="57">
        <f t="shared" si="0"/>
        <v>5</v>
      </c>
      <c r="B11" s="56" t="s">
        <v>145</v>
      </c>
      <c r="C11" s="56" t="s">
        <v>34</v>
      </c>
      <c r="D11" s="55">
        <v>2</v>
      </c>
      <c r="E11" s="55">
        <v>2</v>
      </c>
      <c r="F11" s="55">
        <v>1</v>
      </c>
      <c r="G11" s="55">
        <v>5</v>
      </c>
      <c r="H11" s="55">
        <v>3</v>
      </c>
      <c r="I11" s="55">
        <v>3</v>
      </c>
      <c r="J11" s="55">
        <v>1</v>
      </c>
      <c r="K11" s="55">
        <f t="shared" si="1"/>
        <v>4</v>
      </c>
      <c r="L11" s="55">
        <f t="shared" si="2"/>
        <v>2</v>
      </c>
      <c r="M11" s="55">
        <f t="shared" si="3"/>
        <v>10</v>
      </c>
      <c r="N11" s="55">
        <f t="shared" si="4"/>
        <v>6</v>
      </c>
      <c r="O11" s="55">
        <f t="shared" si="5"/>
        <v>6</v>
      </c>
      <c r="P11" s="55">
        <f t="shared" si="6"/>
        <v>2</v>
      </c>
    </row>
    <row r="12" spans="1:17" s="15" customFormat="1" ht="61.5">
      <c r="A12" s="57">
        <f t="shared" si="0"/>
        <v>6</v>
      </c>
      <c r="B12" s="56" t="s">
        <v>146</v>
      </c>
      <c r="C12" s="56" t="s">
        <v>257</v>
      </c>
      <c r="D12" s="55">
        <v>2</v>
      </c>
      <c r="E12" s="55">
        <v>4</v>
      </c>
      <c r="F12" s="55">
        <v>3</v>
      </c>
      <c r="G12" s="55">
        <v>5</v>
      </c>
      <c r="H12" s="55">
        <v>3</v>
      </c>
      <c r="I12" s="55">
        <v>3</v>
      </c>
      <c r="J12" s="55">
        <v>3</v>
      </c>
      <c r="K12" s="55">
        <f t="shared" si="1"/>
        <v>8</v>
      </c>
      <c r="L12" s="55">
        <f t="shared" si="2"/>
        <v>6</v>
      </c>
      <c r="M12" s="55">
        <f t="shared" si="3"/>
        <v>10</v>
      </c>
      <c r="N12" s="55">
        <f t="shared" si="4"/>
        <v>6</v>
      </c>
      <c r="O12" s="55">
        <f t="shared" si="5"/>
        <v>6</v>
      </c>
      <c r="P12" s="55">
        <f t="shared" si="6"/>
        <v>6</v>
      </c>
    </row>
    <row r="13" spans="1:17" s="15" customFormat="1" ht="49.2">
      <c r="A13" s="57">
        <f t="shared" si="0"/>
        <v>7</v>
      </c>
      <c r="B13" s="56" t="s">
        <v>147</v>
      </c>
      <c r="C13" s="56" t="s">
        <v>35</v>
      </c>
      <c r="D13" s="55">
        <v>1</v>
      </c>
      <c r="E13" s="55">
        <v>3</v>
      </c>
      <c r="F13" s="55">
        <v>3</v>
      </c>
      <c r="G13" s="55">
        <v>3</v>
      </c>
      <c r="H13" s="55">
        <v>3</v>
      </c>
      <c r="I13" s="55">
        <v>3</v>
      </c>
      <c r="J13" s="55">
        <v>3</v>
      </c>
      <c r="K13" s="55">
        <f t="shared" si="1"/>
        <v>3</v>
      </c>
      <c r="L13" s="55">
        <f t="shared" si="2"/>
        <v>3</v>
      </c>
      <c r="M13" s="55">
        <f t="shared" si="3"/>
        <v>3</v>
      </c>
      <c r="N13" s="55">
        <f t="shared" si="4"/>
        <v>3</v>
      </c>
      <c r="O13" s="55">
        <f t="shared" si="5"/>
        <v>3</v>
      </c>
      <c r="P13" s="55">
        <f t="shared" si="6"/>
        <v>3</v>
      </c>
    </row>
    <row r="14" spans="1:17" s="15" customFormat="1" ht="44.4" customHeight="1">
      <c r="A14" s="57">
        <f t="shared" si="0"/>
        <v>8</v>
      </c>
      <c r="B14" s="56" t="s">
        <v>148</v>
      </c>
      <c r="C14" s="56" t="s">
        <v>36</v>
      </c>
      <c r="D14" s="55">
        <v>1</v>
      </c>
      <c r="E14" s="55">
        <v>3</v>
      </c>
      <c r="F14" s="55">
        <v>3</v>
      </c>
      <c r="G14" s="55">
        <v>3</v>
      </c>
      <c r="H14" s="55">
        <v>3</v>
      </c>
      <c r="I14" s="55">
        <v>3</v>
      </c>
      <c r="J14" s="55">
        <v>3</v>
      </c>
      <c r="K14" s="55">
        <f t="shared" si="1"/>
        <v>3</v>
      </c>
      <c r="L14" s="55">
        <f t="shared" si="2"/>
        <v>3</v>
      </c>
      <c r="M14" s="55">
        <f t="shared" si="3"/>
        <v>3</v>
      </c>
      <c r="N14" s="55">
        <f t="shared" si="4"/>
        <v>3</v>
      </c>
      <c r="O14" s="55">
        <f t="shared" si="5"/>
        <v>3</v>
      </c>
      <c r="P14" s="55">
        <f t="shared" si="6"/>
        <v>3</v>
      </c>
    </row>
    <row r="15" spans="1:17">
      <c r="C15" s="11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</row>
    <row r="16" spans="1:17">
      <c r="C16" s="11"/>
      <c r="D16" s="49" t="s">
        <v>10</v>
      </c>
      <c r="K16" s="49" t="s">
        <v>11</v>
      </c>
      <c r="L16" s="49" t="s">
        <v>11</v>
      </c>
      <c r="M16" s="49" t="s">
        <v>11</v>
      </c>
      <c r="N16" s="49" t="s">
        <v>11</v>
      </c>
      <c r="O16" s="49" t="s">
        <v>11</v>
      </c>
      <c r="P16" s="49" t="s">
        <v>11</v>
      </c>
    </row>
    <row r="17" spans="2:16">
      <c r="C17" s="11"/>
      <c r="D17" s="39">
        <f>SUM(D7:D15) *5</f>
        <v>70</v>
      </c>
      <c r="K17" s="39">
        <f>SUM(K7:K15)</f>
        <v>55</v>
      </c>
      <c r="L17" s="39">
        <f t="shared" ref="L17:P17" si="7">SUM(L7:L15)</f>
        <v>42</v>
      </c>
      <c r="M17" s="39">
        <f t="shared" si="7"/>
        <v>63</v>
      </c>
      <c r="N17" s="39">
        <f t="shared" si="7"/>
        <v>52</v>
      </c>
      <c r="O17" s="39">
        <f t="shared" si="7"/>
        <v>46</v>
      </c>
      <c r="P17" s="39">
        <f t="shared" si="7"/>
        <v>42</v>
      </c>
    </row>
    <row r="19" spans="2:16">
      <c r="D19" s="49" t="s">
        <v>12</v>
      </c>
      <c r="K19" s="49" t="s">
        <v>12</v>
      </c>
      <c r="L19" s="49" t="s">
        <v>12</v>
      </c>
      <c r="M19" s="49" t="s">
        <v>12</v>
      </c>
      <c r="N19" s="49" t="s">
        <v>12</v>
      </c>
      <c r="O19" s="49" t="s">
        <v>12</v>
      </c>
      <c r="P19" s="49" t="s">
        <v>12</v>
      </c>
    </row>
    <row r="20" spans="2:16">
      <c r="D20" s="39">
        <f>PRODUCT(D17,1/G2)</f>
        <v>8.75</v>
      </c>
      <c r="K20" s="39">
        <f>PRODUCT(K17,1/G2)</f>
        <v>6.875</v>
      </c>
      <c r="L20" s="39">
        <f>PRODUCT(L17,1/G2)</f>
        <v>5.25</v>
      </c>
      <c r="M20" s="39">
        <f>PRODUCT(M17,1/G2)</f>
        <v>7.875</v>
      </c>
      <c r="N20" s="39">
        <f>PRODUCT(N17,1/G2)</f>
        <v>6.5</v>
      </c>
      <c r="O20" s="39">
        <f>PRODUCT(O17,1/G2)</f>
        <v>5.75</v>
      </c>
      <c r="P20" s="39">
        <f>PRODUCT(P17,1/G2)</f>
        <v>5.25</v>
      </c>
    </row>
    <row r="21" spans="2:16">
      <c r="B21" s="17"/>
    </row>
    <row r="25" spans="2:16">
      <c r="B25" s="16"/>
    </row>
  </sheetData>
  <phoneticPr fontId="4" type="noConversion"/>
  <pageMargins left="0.78740157499999996" right="0.78740157499999996" top="0.984251969" bottom="0.984251969" header="0.4921259845" footer="0.4921259845"/>
  <pageSetup paperSize="9" scale="7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45720</xdr:colOff>
                    <xdr:row>2</xdr:row>
                    <xdr:rowOff>60960</xdr:rowOff>
                  </from>
                  <to>
                    <xdr:col>6</xdr:col>
                    <xdr:colOff>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33"/>
  <sheetViews>
    <sheetView showGridLines="0" zoomScaleNormal="100" workbookViewId="0">
      <pane ySplit="6" topLeftCell="A8" activePane="bottomLeft" state="frozen"/>
      <selection pane="bottomLeft" activeCell="A6" sqref="A6:J17"/>
    </sheetView>
  </sheetViews>
  <sheetFormatPr baseColWidth="10" defaultRowHeight="12.3"/>
  <cols>
    <col min="1" max="1" width="3.5546875" customWidth="1"/>
    <col min="2" max="2" width="46.6640625" customWidth="1"/>
    <col min="3" max="3" width="46.33203125" customWidth="1"/>
    <col min="4" max="4" width="16.88671875" style="1" customWidth="1"/>
    <col min="5" max="16" width="9" style="1" customWidth="1"/>
  </cols>
  <sheetData>
    <row r="1" spans="1:17" ht="18" customHeight="1">
      <c r="A1" s="42"/>
      <c r="B1" s="43" t="s">
        <v>13</v>
      </c>
      <c r="C1" s="8"/>
      <c r="D1" s="9" t="s">
        <v>4</v>
      </c>
      <c r="E1" s="10" t="s">
        <v>5</v>
      </c>
      <c r="F1" s="11"/>
      <c r="G1" s="11" t="s">
        <v>6</v>
      </c>
      <c r="H1" s="11"/>
      <c r="I1" s="11"/>
      <c r="J1" s="11"/>
      <c r="K1" s="11"/>
      <c r="L1" s="11"/>
      <c r="M1" s="11"/>
      <c r="N1" s="11"/>
      <c r="O1" s="11"/>
      <c r="P1" s="11"/>
    </row>
    <row r="2" spans="1:17" ht="11.1" customHeight="1">
      <c r="A2" s="8"/>
      <c r="B2" s="8"/>
      <c r="C2" s="8"/>
      <c r="D2" s="12" t="s">
        <v>2</v>
      </c>
      <c r="E2" s="10"/>
      <c r="F2" s="11"/>
      <c r="G2" s="11">
        <v>11</v>
      </c>
      <c r="H2" s="11"/>
      <c r="I2" s="11"/>
      <c r="J2" s="11"/>
      <c r="K2" s="11"/>
      <c r="L2" s="11"/>
      <c r="M2" s="11"/>
      <c r="N2" s="11"/>
      <c r="O2" s="11"/>
      <c r="P2" s="11"/>
    </row>
    <row r="3" spans="1:17" ht="11.1" customHeight="1">
      <c r="A3" s="8"/>
      <c r="B3" s="8"/>
      <c r="C3" s="8"/>
      <c r="D3" s="12" t="s">
        <v>300</v>
      </c>
      <c r="E3" s="10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7" ht="11.1" customHeight="1">
      <c r="A4" s="8"/>
      <c r="B4" s="8"/>
      <c r="C4" s="8"/>
      <c r="D4" s="13" t="s">
        <v>3</v>
      </c>
      <c r="E4" s="10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7">
      <c r="A5" s="8"/>
      <c r="B5" s="8"/>
      <c r="C5" s="8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7" s="2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3" customFormat="1" ht="21.75" customHeight="1">
      <c r="A7" s="30">
        <v>1</v>
      </c>
      <c r="B7" s="40" t="s">
        <v>38</v>
      </c>
      <c r="C7" s="40"/>
      <c r="D7" s="30">
        <v>2</v>
      </c>
      <c r="E7" s="41">
        <v>5</v>
      </c>
      <c r="F7" s="41">
        <v>5</v>
      </c>
      <c r="G7" s="41">
        <v>4</v>
      </c>
      <c r="H7" s="41">
        <v>5</v>
      </c>
      <c r="I7" s="41">
        <v>5</v>
      </c>
      <c r="J7" s="41">
        <v>5</v>
      </c>
      <c r="K7" s="41">
        <f>PRODUCT(D7,E7)</f>
        <v>10</v>
      </c>
      <c r="L7" s="41">
        <f>PRODUCT(D7,F7)</f>
        <v>10</v>
      </c>
      <c r="M7" s="41">
        <f>PRODUCT(D7,G7)</f>
        <v>8</v>
      </c>
      <c r="N7" s="41">
        <f>PRODUCT(D7,H7)</f>
        <v>10</v>
      </c>
      <c r="O7" s="41">
        <f>PRODUCT(D7,I7)</f>
        <v>10</v>
      </c>
      <c r="P7" s="41">
        <f>PRODUCT(D7,J7)</f>
        <v>10</v>
      </c>
      <c r="Q7" s="27" t="s">
        <v>199</v>
      </c>
    </row>
    <row r="8" spans="1:17" s="3" customFormat="1" ht="36.9">
      <c r="A8" s="30">
        <f t="shared" ref="A8:A17" si="0">SUM(A7,1)</f>
        <v>2</v>
      </c>
      <c r="B8" s="40" t="s">
        <v>37</v>
      </c>
      <c r="C8" s="40"/>
      <c r="D8" s="30">
        <v>2</v>
      </c>
      <c r="E8" s="41">
        <v>5</v>
      </c>
      <c r="F8" s="41">
        <v>2</v>
      </c>
      <c r="G8" s="41">
        <v>5</v>
      </c>
      <c r="H8" s="41">
        <v>5</v>
      </c>
      <c r="I8" s="41">
        <v>5</v>
      </c>
      <c r="J8" s="41">
        <v>2</v>
      </c>
      <c r="K8" s="41">
        <f t="shared" ref="K8:K16" si="1">PRODUCT(D8,E8)</f>
        <v>10</v>
      </c>
      <c r="L8" s="41">
        <f t="shared" ref="L8:L16" si="2">PRODUCT(D8,F8)</f>
        <v>4</v>
      </c>
      <c r="M8" s="41">
        <f t="shared" ref="M8:M16" si="3">PRODUCT(D8,G8)</f>
        <v>10</v>
      </c>
      <c r="N8" s="41">
        <f t="shared" ref="N8:N16" si="4">PRODUCT(D8,H8)</f>
        <v>10</v>
      </c>
      <c r="O8" s="41">
        <f t="shared" ref="O8:O16" si="5">PRODUCT(D8,I8)</f>
        <v>10</v>
      </c>
      <c r="P8" s="41">
        <f t="shared" ref="P8:P16" si="6">PRODUCT(D8,J8)</f>
        <v>4</v>
      </c>
      <c r="Q8" s="27" t="s">
        <v>199</v>
      </c>
    </row>
    <row r="9" spans="1:17" s="3" customFormat="1" ht="24.6">
      <c r="A9" s="39">
        <f t="shared" si="0"/>
        <v>3</v>
      </c>
      <c r="B9" s="38" t="s">
        <v>39</v>
      </c>
      <c r="C9" s="38" t="s">
        <v>323</v>
      </c>
      <c r="D9" s="39">
        <v>1</v>
      </c>
      <c r="E9" s="41">
        <v>5</v>
      </c>
      <c r="F9" s="41">
        <v>5</v>
      </c>
      <c r="G9" s="41">
        <v>2</v>
      </c>
      <c r="H9" s="41">
        <v>4</v>
      </c>
      <c r="I9" s="41">
        <v>5</v>
      </c>
      <c r="J9" s="41">
        <v>5</v>
      </c>
      <c r="K9" s="41">
        <f t="shared" si="1"/>
        <v>5</v>
      </c>
      <c r="L9" s="41">
        <f t="shared" si="2"/>
        <v>5</v>
      </c>
      <c r="M9" s="41">
        <f t="shared" si="3"/>
        <v>2</v>
      </c>
      <c r="N9" s="41">
        <f t="shared" si="4"/>
        <v>4</v>
      </c>
      <c r="O9" s="41">
        <f t="shared" si="5"/>
        <v>5</v>
      </c>
      <c r="P9" s="41">
        <f t="shared" si="6"/>
        <v>5</v>
      </c>
      <c r="Q9" s="27" t="s">
        <v>199</v>
      </c>
    </row>
    <row r="10" spans="1:17" s="3" customFormat="1" ht="38.1" customHeight="1">
      <c r="A10" s="39">
        <f t="shared" si="0"/>
        <v>4</v>
      </c>
      <c r="B10" s="38" t="s">
        <v>40</v>
      </c>
      <c r="C10" s="38" t="s">
        <v>324</v>
      </c>
      <c r="D10" s="39">
        <v>3</v>
      </c>
      <c r="E10" s="41">
        <v>5</v>
      </c>
      <c r="F10" s="41">
        <v>3</v>
      </c>
      <c r="G10" s="41">
        <v>5</v>
      </c>
      <c r="H10" s="41">
        <v>5</v>
      </c>
      <c r="I10" s="41">
        <v>5</v>
      </c>
      <c r="J10" s="41">
        <v>4</v>
      </c>
      <c r="K10" s="41">
        <f t="shared" si="1"/>
        <v>15</v>
      </c>
      <c r="L10" s="41">
        <f t="shared" si="2"/>
        <v>9</v>
      </c>
      <c r="M10" s="41">
        <f t="shared" si="3"/>
        <v>15</v>
      </c>
      <c r="N10" s="41">
        <f t="shared" si="4"/>
        <v>15</v>
      </c>
      <c r="O10" s="41">
        <f t="shared" si="5"/>
        <v>15</v>
      </c>
      <c r="P10" s="41">
        <f t="shared" si="6"/>
        <v>12</v>
      </c>
      <c r="Q10" s="50" t="s">
        <v>199</v>
      </c>
    </row>
    <row r="11" spans="1:17" s="3" customFormat="1" ht="36.9">
      <c r="A11" s="30">
        <f>SUM(A10,1)</f>
        <v>5</v>
      </c>
      <c r="B11" s="38" t="s">
        <v>151</v>
      </c>
      <c r="C11" s="38" t="s">
        <v>152</v>
      </c>
      <c r="D11" s="30">
        <v>2</v>
      </c>
      <c r="E11" s="41">
        <v>3</v>
      </c>
      <c r="F11" s="41">
        <v>2</v>
      </c>
      <c r="G11" s="41">
        <v>5</v>
      </c>
      <c r="H11" s="41">
        <v>4</v>
      </c>
      <c r="I11" s="41">
        <v>5</v>
      </c>
      <c r="J11" s="41">
        <v>3</v>
      </c>
      <c r="K11" s="41">
        <f t="shared" si="1"/>
        <v>6</v>
      </c>
      <c r="L11" s="41">
        <f t="shared" si="2"/>
        <v>4</v>
      </c>
      <c r="M11" s="41">
        <f t="shared" si="3"/>
        <v>10</v>
      </c>
      <c r="N11" s="41">
        <f t="shared" si="4"/>
        <v>8</v>
      </c>
      <c r="O11" s="41">
        <f t="shared" si="5"/>
        <v>10</v>
      </c>
      <c r="P11" s="41">
        <f t="shared" si="6"/>
        <v>6</v>
      </c>
      <c r="Q11" s="27" t="s">
        <v>199</v>
      </c>
    </row>
    <row r="12" spans="1:17" s="3" customFormat="1" ht="21" customHeight="1">
      <c r="A12" s="39">
        <f t="shared" si="0"/>
        <v>6</v>
      </c>
      <c r="B12" s="38" t="s">
        <v>298</v>
      </c>
      <c r="C12" s="38"/>
      <c r="D12" s="39">
        <v>2</v>
      </c>
      <c r="E12" s="41">
        <v>4</v>
      </c>
      <c r="F12" s="41">
        <v>3</v>
      </c>
      <c r="G12" s="41">
        <v>5</v>
      </c>
      <c r="H12" s="41">
        <v>4</v>
      </c>
      <c r="I12" s="41">
        <v>5</v>
      </c>
      <c r="J12" s="41">
        <v>4</v>
      </c>
      <c r="K12" s="41">
        <f t="shared" si="1"/>
        <v>8</v>
      </c>
      <c r="L12" s="41">
        <f t="shared" si="2"/>
        <v>6</v>
      </c>
      <c r="M12" s="41">
        <f t="shared" si="3"/>
        <v>10</v>
      </c>
      <c r="N12" s="41">
        <f t="shared" si="4"/>
        <v>8</v>
      </c>
      <c r="O12" s="41">
        <f t="shared" si="5"/>
        <v>10</v>
      </c>
      <c r="P12" s="41">
        <f t="shared" si="6"/>
        <v>8</v>
      </c>
      <c r="Q12" s="27"/>
    </row>
    <row r="13" spans="1:17" s="3" customFormat="1" ht="38.1" customHeight="1">
      <c r="A13" s="39">
        <f t="shared" si="0"/>
        <v>7</v>
      </c>
      <c r="B13" s="38" t="s">
        <v>153</v>
      </c>
      <c r="C13" s="38"/>
      <c r="D13" s="39">
        <v>1</v>
      </c>
      <c r="E13" s="41">
        <v>4</v>
      </c>
      <c r="F13" s="41">
        <v>5</v>
      </c>
      <c r="G13" s="41">
        <v>5</v>
      </c>
      <c r="H13" s="41">
        <v>4</v>
      </c>
      <c r="I13" s="41">
        <v>5</v>
      </c>
      <c r="J13" s="41">
        <v>2</v>
      </c>
      <c r="K13" s="41">
        <f t="shared" si="1"/>
        <v>4</v>
      </c>
      <c r="L13" s="41">
        <f t="shared" si="2"/>
        <v>5</v>
      </c>
      <c r="M13" s="41">
        <f t="shared" si="3"/>
        <v>5</v>
      </c>
      <c r="N13" s="41">
        <f t="shared" si="4"/>
        <v>4</v>
      </c>
      <c r="O13" s="41">
        <f t="shared" si="5"/>
        <v>5</v>
      </c>
      <c r="P13" s="41">
        <f t="shared" si="6"/>
        <v>2</v>
      </c>
      <c r="Q13" s="27" t="s">
        <v>199</v>
      </c>
    </row>
    <row r="14" spans="1:17" s="3" customFormat="1" ht="38.1" customHeight="1">
      <c r="A14" s="30">
        <f t="shared" si="0"/>
        <v>8</v>
      </c>
      <c r="B14" s="40" t="s">
        <v>154</v>
      </c>
      <c r="C14" s="40" t="s">
        <v>43</v>
      </c>
      <c r="D14" s="39">
        <v>2</v>
      </c>
      <c r="E14" s="41">
        <v>3</v>
      </c>
      <c r="F14" s="41">
        <v>3</v>
      </c>
      <c r="G14" s="41">
        <v>4</v>
      </c>
      <c r="H14" s="41">
        <v>5</v>
      </c>
      <c r="I14" s="41">
        <v>4</v>
      </c>
      <c r="J14" s="41">
        <v>3</v>
      </c>
      <c r="K14" s="41">
        <f t="shared" si="1"/>
        <v>6</v>
      </c>
      <c r="L14" s="41">
        <f t="shared" si="2"/>
        <v>6</v>
      </c>
      <c r="M14" s="41">
        <f t="shared" si="3"/>
        <v>8</v>
      </c>
      <c r="N14" s="41">
        <f t="shared" si="4"/>
        <v>10</v>
      </c>
      <c r="O14" s="41">
        <f t="shared" si="5"/>
        <v>8</v>
      </c>
      <c r="P14" s="41">
        <f t="shared" si="6"/>
        <v>6</v>
      </c>
      <c r="Q14" s="27" t="s">
        <v>199</v>
      </c>
    </row>
    <row r="15" spans="1:17" s="3" customFormat="1" ht="38.1" customHeight="1">
      <c r="A15" s="30">
        <f t="shared" si="0"/>
        <v>9</v>
      </c>
      <c r="B15" s="40" t="s">
        <v>156</v>
      </c>
      <c r="C15" s="40" t="s">
        <v>258</v>
      </c>
      <c r="D15" s="41">
        <v>1</v>
      </c>
      <c r="E15" s="41">
        <v>5</v>
      </c>
      <c r="F15" s="41">
        <v>4</v>
      </c>
      <c r="G15" s="41">
        <v>5</v>
      </c>
      <c r="H15" s="41">
        <v>5</v>
      </c>
      <c r="I15" s="41">
        <v>5</v>
      </c>
      <c r="J15" s="41">
        <v>4</v>
      </c>
      <c r="K15" s="41">
        <f t="shared" si="1"/>
        <v>5</v>
      </c>
      <c r="L15" s="41">
        <f t="shared" si="2"/>
        <v>4</v>
      </c>
      <c r="M15" s="41">
        <f t="shared" si="3"/>
        <v>5</v>
      </c>
      <c r="N15" s="41">
        <f t="shared" si="4"/>
        <v>5</v>
      </c>
      <c r="O15" s="41">
        <f t="shared" si="5"/>
        <v>5</v>
      </c>
      <c r="P15" s="41">
        <f t="shared" si="6"/>
        <v>4</v>
      </c>
      <c r="Q15" s="27" t="s">
        <v>199</v>
      </c>
    </row>
    <row r="16" spans="1:17" s="3" customFormat="1" ht="38.1" customHeight="1">
      <c r="A16" s="30">
        <f t="shared" si="0"/>
        <v>10</v>
      </c>
      <c r="B16" s="40" t="s">
        <v>155</v>
      </c>
      <c r="C16" s="40"/>
      <c r="D16" s="41">
        <v>2</v>
      </c>
      <c r="E16" s="41">
        <v>4</v>
      </c>
      <c r="F16" s="41">
        <v>5</v>
      </c>
      <c r="G16" s="41">
        <v>5</v>
      </c>
      <c r="H16" s="41">
        <v>4</v>
      </c>
      <c r="I16" s="41">
        <v>5</v>
      </c>
      <c r="J16" s="41">
        <v>1</v>
      </c>
      <c r="K16" s="41">
        <f t="shared" si="1"/>
        <v>8</v>
      </c>
      <c r="L16" s="41">
        <f t="shared" si="2"/>
        <v>10</v>
      </c>
      <c r="M16" s="41">
        <f t="shared" si="3"/>
        <v>10</v>
      </c>
      <c r="N16" s="41">
        <f t="shared" si="4"/>
        <v>8</v>
      </c>
      <c r="O16" s="41">
        <f t="shared" si="5"/>
        <v>10</v>
      </c>
      <c r="P16" s="41">
        <f t="shared" si="6"/>
        <v>2</v>
      </c>
      <c r="Q16" s="27" t="s">
        <v>199</v>
      </c>
    </row>
    <row r="17" spans="1:17" s="3" customFormat="1" ht="38.1" customHeight="1">
      <c r="A17" s="41">
        <f t="shared" si="0"/>
        <v>11</v>
      </c>
      <c r="B17" s="40" t="s">
        <v>157</v>
      </c>
      <c r="C17" s="40"/>
      <c r="D17" s="41">
        <v>2</v>
      </c>
      <c r="E17" s="41">
        <v>3</v>
      </c>
      <c r="F17" s="41">
        <v>2</v>
      </c>
      <c r="G17" s="41">
        <v>4</v>
      </c>
      <c r="H17" s="41">
        <v>5</v>
      </c>
      <c r="I17" s="41">
        <v>3</v>
      </c>
      <c r="J17" s="41">
        <v>2</v>
      </c>
      <c r="K17" s="41">
        <f t="shared" ref="K17" si="7">PRODUCT(D17,E17)</f>
        <v>6</v>
      </c>
      <c r="L17" s="41">
        <f t="shared" ref="L17" si="8">PRODUCT(D17,F17)</f>
        <v>4</v>
      </c>
      <c r="M17" s="41">
        <f t="shared" ref="M17" si="9">PRODUCT(D17,G17)</f>
        <v>8</v>
      </c>
      <c r="N17" s="41">
        <f t="shared" ref="N17" si="10">PRODUCT(D17,H17)</f>
        <v>10</v>
      </c>
      <c r="O17" s="41">
        <f t="shared" ref="O17" si="11">PRODUCT(D17,I17)</f>
        <v>6</v>
      </c>
      <c r="P17" s="41">
        <f t="shared" ref="P17" si="12">PRODUCT(D17,J17)</f>
        <v>4</v>
      </c>
      <c r="Q17" s="27" t="s">
        <v>199</v>
      </c>
    </row>
    <row r="18" spans="1:17">
      <c r="C18" s="1"/>
      <c r="F18"/>
      <c r="G18"/>
      <c r="H18"/>
      <c r="I18"/>
      <c r="J18"/>
      <c r="K18"/>
      <c r="L18"/>
      <c r="M18"/>
      <c r="N18"/>
      <c r="O18"/>
      <c r="P18"/>
    </row>
    <row r="19" spans="1:17">
      <c r="C19" s="1"/>
      <c r="D19" s="49" t="s">
        <v>10</v>
      </c>
      <c r="E19"/>
      <c r="K19" s="49" t="s">
        <v>11</v>
      </c>
      <c r="L19" s="49" t="s">
        <v>11</v>
      </c>
      <c r="M19" s="49" t="s">
        <v>11</v>
      </c>
      <c r="N19" s="49" t="s">
        <v>11</v>
      </c>
      <c r="O19" s="49" t="s">
        <v>11</v>
      </c>
      <c r="P19" s="49" t="s">
        <v>11</v>
      </c>
    </row>
    <row r="20" spans="1:17">
      <c r="D20" s="39">
        <f>SUM(D7:D18) *5</f>
        <v>100</v>
      </c>
      <c r="K20" s="39">
        <f t="shared" ref="K20:P20" si="13">SUM(K7:K18)</f>
        <v>83</v>
      </c>
      <c r="L20" s="39">
        <f t="shared" si="13"/>
        <v>67</v>
      </c>
      <c r="M20" s="39">
        <f t="shared" si="13"/>
        <v>91</v>
      </c>
      <c r="N20" s="39">
        <f t="shared" si="13"/>
        <v>92</v>
      </c>
      <c r="O20" s="39">
        <f t="shared" si="13"/>
        <v>94</v>
      </c>
      <c r="P20" s="39">
        <f t="shared" si="13"/>
        <v>63</v>
      </c>
    </row>
    <row r="21" spans="1:17">
      <c r="K21" s="11"/>
      <c r="L21" s="11"/>
      <c r="M21" s="11"/>
      <c r="N21" s="11"/>
      <c r="O21" s="11"/>
      <c r="P21" s="11"/>
    </row>
    <row r="22" spans="1:17">
      <c r="D22" s="49" t="s">
        <v>12</v>
      </c>
      <c r="K22" s="49" t="s">
        <v>12</v>
      </c>
      <c r="L22" s="49" t="s">
        <v>12</v>
      </c>
      <c r="M22" s="49" t="s">
        <v>12</v>
      </c>
      <c r="N22" s="49" t="s">
        <v>12</v>
      </c>
      <c r="O22" s="49" t="s">
        <v>12</v>
      </c>
      <c r="P22" s="49" t="s">
        <v>12</v>
      </c>
    </row>
    <row r="23" spans="1:17">
      <c r="D23" s="39">
        <f>PRODUCT(D20,1/G2)</f>
        <v>9.0909090909090917</v>
      </c>
      <c r="K23" s="39">
        <f>PRODUCT(K20,1/G2)</f>
        <v>7.5454545454545459</v>
      </c>
      <c r="L23" s="39">
        <f>PRODUCT(L20,1/G2)</f>
        <v>6.0909090909090908</v>
      </c>
      <c r="M23" s="39">
        <f>PRODUCT(M20,1/G2)</f>
        <v>8.2727272727272734</v>
      </c>
      <c r="N23" s="39">
        <f>PRODUCT(N20,1/G2)</f>
        <v>8.3636363636363633</v>
      </c>
      <c r="O23" s="39">
        <f>PRODUCT(O20,1/G2)</f>
        <v>8.545454545454545</v>
      </c>
      <c r="P23" s="39">
        <f>PRODUCT(P20,1/G2)</f>
        <v>5.7272727272727275</v>
      </c>
    </row>
    <row r="25" spans="1:17">
      <c r="B25" s="6"/>
    </row>
    <row r="26" spans="1:17">
      <c r="C26" s="1"/>
      <c r="F26"/>
      <c r="G26"/>
      <c r="H26"/>
      <c r="I26"/>
      <c r="J26"/>
      <c r="K26"/>
      <c r="L26"/>
      <c r="M26"/>
      <c r="N26"/>
      <c r="O26"/>
      <c r="P26"/>
    </row>
    <row r="27" spans="1:17">
      <c r="C27" s="1"/>
      <c r="F27"/>
      <c r="G27"/>
      <c r="H27"/>
      <c r="I27"/>
      <c r="J27"/>
      <c r="K27"/>
      <c r="L27"/>
      <c r="M27"/>
      <c r="N27"/>
      <c r="O27"/>
      <c r="P27"/>
    </row>
    <row r="28" spans="1:17">
      <c r="C28" s="1"/>
      <c r="F28"/>
      <c r="G28"/>
      <c r="H28"/>
      <c r="I28"/>
      <c r="J28"/>
      <c r="K28"/>
      <c r="L28"/>
      <c r="M28"/>
      <c r="N28"/>
      <c r="O28"/>
      <c r="P28"/>
    </row>
    <row r="29" spans="1:17">
      <c r="C29" s="1"/>
      <c r="F29"/>
      <c r="G29"/>
      <c r="H29"/>
      <c r="I29"/>
      <c r="J29"/>
      <c r="K29"/>
      <c r="L29"/>
      <c r="M29"/>
      <c r="N29"/>
      <c r="O29"/>
      <c r="P29"/>
    </row>
    <row r="30" spans="1:17">
      <c r="C30" s="1"/>
      <c r="F30"/>
      <c r="G30"/>
      <c r="H30"/>
      <c r="I30"/>
      <c r="J30"/>
      <c r="K30"/>
      <c r="L30"/>
      <c r="M30"/>
      <c r="N30"/>
      <c r="O30"/>
      <c r="P30"/>
    </row>
    <row r="31" spans="1:17">
      <c r="C31" s="1"/>
      <c r="F31"/>
      <c r="G31"/>
      <c r="H31"/>
      <c r="I31"/>
      <c r="J31"/>
      <c r="K31"/>
      <c r="L31"/>
      <c r="M31"/>
      <c r="N31"/>
      <c r="O31"/>
      <c r="P31"/>
    </row>
    <row r="32" spans="1:17">
      <c r="C32" s="1"/>
      <c r="F32"/>
      <c r="G32"/>
      <c r="H32"/>
      <c r="I32"/>
      <c r="J32"/>
      <c r="K32"/>
      <c r="L32"/>
      <c r="M32"/>
      <c r="N32"/>
      <c r="O32"/>
      <c r="P32"/>
    </row>
    <row r="33" spans="3:16">
      <c r="C33" s="1"/>
      <c r="F33"/>
      <c r="G33"/>
      <c r="H33"/>
      <c r="I33"/>
      <c r="J33"/>
      <c r="K33"/>
      <c r="L33"/>
      <c r="M33"/>
      <c r="N33"/>
      <c r="O33"/>
      <c r="P33"/>
    </row>
  </sheetData>
  <phoneticPr fontId="4" type="noConversion"/>
  <pageMargins left="0.78740157499999996" right="0.78740157499999996" top="0.984251969" bottom="0.984251969" header="0.4921259845" footer="0.4921259845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45720</xdr:colOff>
                    <xdr:row>2</xdr:row>
                    <xdr:rowOff>60960</xdr:rowOff>
                  </from>
                  <to>
                    <xdr:col>6</xdr:col>
                    <xdr:colOff>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65"/>
  <sheetViews>
    <sheetView showGridLines="0" topLeftCell="D1" zoomScale="115" zoomScaleNormal="115" workbookViewId="0">
      <pane ySplit="6" topLeftCell="A54" activePane="bottomLeft" state="frozen"/>
      <selection pane="bottomLeft" activeCell="A6" sqref="A6:P59"/>
    </sheetView>
  </sheetViews>
  <sheetFormatPr baseColWidth="10" defaultColWidth="11.44140625" defaultRowHeight="12.3"/>
  <cols>
    <col min="1" max="1" width="3.5546875" style="8" customWidth="1"/>
    <col min="2" max="2" width="46.6640625" style="8" customWidth="1"/>
    <col min="3" max="3" width="46.33203125" style="8" customWidth="1"/>
    <col min="4" max="4" width="14.109375" style="11" customWidth="1"/>
    <col min="5" max="16" width="9" style="11" customWidth="1"/>
    <col min="17" max="16384" width="11.44140625" style="8"/>
  </cols>
  <sheetData>
    <row r="1" spans="1:17" ht="18" customHeight="1">
      <c r="A1" s="42"/>
      <c r="B1" s="43" t="s">
        <v>28</v>
      </c>
      <c r="D1" s="9" t="s">
        <v>4</v>
      </c>
      <c r="E1" s="10" t="s">
        <v>5</v>
      </c>
      <c r="G1" s="11" t="s">
        <v>6</v>
      </c>
    </row>
    <row r="2" spans="1:17" ht="11.1" customHeight="1">
      <c r="D2" s="12" t="s">
        <v>2</v>
      </c>
      <c r="E2" s="10"/>
      <c r="G2" s="11">
        <v>53</v>
      </c>
    </row>
    <row r="3" spans="1:17" ht="11.1" customHeight="1">
      <c r="D3" s="12" t="s">
        <v>300</v>
      </c>
      <c r="E3" s="10"/>
    </row>
    <row r="4" spans="1:17" ht="11.1" customHeight="1">
      <c r="D4" s="13" t="s">
        <v>3</v>
      </c>
      <c r="E4" s="10"/>
    </row>
    <row r="6" spans="1:17" s="14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15" customFormat="1" ht="36.9">
      <c r="A7" s="31">
        <f>SUM(A6,1)</f>
        <v>1</v>
      </c>
      <c r="B7" s="38" t="s">
        <v>158</v>
      </c>
      <c r="C7" s="38" t="s">
        <v>44</v>
      </c>
      <c r="D7" s="31">
        <v>3</v>
      </c>
      <c r="E7" s="62">
        <v>5</v>
      </c>
      <c r="F7" s="62">
        <v>5</v>
      </c>
      <c r="G7" s="62">
        <v>5</v>
      </c>
      <c r="H7" s="62">
        <v>5</v>
      </c>
      <c r="I7" s="62">
        <v>5</v>
      </c>
      <c r="J7" s="62">
        <v>5</v>
      </c>
      <c r="K7" s="41">
        <f>PRODUCT(D7,E7)</f>
        <v>15</v>
      </c>
      <c r="L7" s="41">
        <f>PRODUCT(D7,F7)</f>
        <v>15</v>
      </c>
      <c r="M7" s="41">
        <f>PRODUCT(D7,G7)</f>
        <v>15</v>
      </c>
      <c r="N7" s="41">
        <f>PRODUCT(D7,H7)</f>
        <v>15</v>
      </c>
      <c r="O7" s="41">
        <f>PRODUCT(D7,I7)</f>
        <v>15</v>
      </c>
      <c r="P7" s="41">
        <f>PRODUCT(D7,J7)</f>
        <v>15</v>
      </c>
      <c r="Q7" s="15" t="s">
        <v>199</v>
      </c>
    </row>
    <row r="8" spans="1:17" s="15" customFormat="1" ht="49.2">
      <c r="A8" s="31">
        <f t="shared" ref="A8:A17" si="0">SUM(A7,1)</f>
        <v>2</v>
      </c>
      <c r="B8" s="38" t="s">
        <v>159</v>
      </c>
      <c r="C8" s="38" t="s">
        <v>160</v>
      </c>
      <c r="D8" s="31">
        <v>3</v>
      </c>
      <c r="E8" s="62">
        <v>4</v>
      </c>
      <c r="F8" s="62">
        <v>4</v>
      </c>
      <c r="G8" s="62">
        <v>5</v>
      </c>
      <c r="H8" s="62">
        <v>5</v>
      </c>
      <c r="I8" s="62">
        <v>5</v>
      </c>
      <c r="J8" s="62">
        <v>4</v>
      </c>
      <c r="K8" s="41">
        <f t="shared" ref="K8:K57" si="1">PRODUCT(D8,E8)</f>
        <v>12</v>
      </c>
      <c r="L8" s="41">
        <f t="shared" ref="L8:L57" si="2">PRODUCT(D8,F8)</f>
        <v>12</v>
      </c>
      <c r="M8" s="41">
        <f t="shared" ref="M8:M57" si="3">PRODUCT(D8,G8)</f>
        <v>15</v>
      </c>
      <c r="N8" s="41">
        <f t="shared" ref="N8:N57" si="4">PRODUCT(D8,H8)</f>
        <v>15</v>
      </c>
      <c r="O8" s="41">
        <f t="shared" ref="O8:O57" si="5">PRODUCT(D8,I8)</f>
        <v>15</v>
      </c>
      <c r="P8" s="41">
        <f t="shared" ref="P8:P57" si="6">PRODUCT(D8,J8)</f>
        <v>12</v>
      </c>
    </row>
    <row r="9" spans="1:17" s="15" customFormat="1" ht="36.9">
      <c r="A9" s="31">
        <f t="shared" si="0"/>
        <v>3</v>
      </c>
      <c r="B9" s="38" t="s">
        <v>162</v>
      </c>
      <c r="C9" s="38" t="s">
        <v>161</v>
      </c>
      <c r="D9" s="31">
        <v>3</v>
      </c>
      <c r="E9" s="62">
        <v>4</v>
      </c>
      <c r="F9" s="62">
        <v>3</v>
      </c>
      <c r="G9" s="62">
        <v>4</v>
      </c>
      <c r="H9" s="62">
        <v>4</v>
      </c>
      <c r="I9" s="62">
        <v>4</v>
      </c>
      <c r="J9" s="62">
        <v>3</v>
      </c>
      <c r="K9" s="41">
        <f t="shared" si="1"/>
        <v>12</v>
      </c>
      <c r="L9" s="41">
        <f t="shared" si="2"/>
        <v>9</v>
      </c>
      <c r="M9" s="41">
        <f t="shared" si="3"/>
        <v>12</v>
      </c>
      <c r="N9" s="41">
        <f t="shared" si="4"/>
        <v>12</v>
      </c>
      <c r="O9" s="41">
        <f t="shared" si="5"/>
        <v>12</v>
      </c>
      <c r="P9" s="41">
        <f t="shared" si="6"/>
        <v>9</v>
      </c>
    </row>
    <row r="10" spans="1:17" s="15" customFormat="1" ht="38.1" customHeight="1">
      <c r="A10" s="31">
        <f t="shared" si="0"/>
        <v>4</v>
      </c>
      <c r="B10" s="38" t="s">
        <v>45</v>
      </c>
      <c r="C10" s="38"/>
      <c r="D10" s="31">
        <v>2</v>
      </c>
      <c r="E10" s="62">
        <v>4</v>
      </c>
      <c r="F10" s="62">
        <v>4</v>
      </c>
      <c r="G10" s="62">
        <v>4</v>
      </c>
      <c r="H10" s="62">
        <v>4</v>
      </c>
      <c r="I10" s="62">
        <v>4</v>
      </c>
      <c r="J10" s="62">
        <v>4</v>
      </c>
      <c r="K10" s="41">
        <f t="shared" si="1"/>
        <v>8</v>
      </c>
      <c r="L10" s="41">
        <f t="shared" si="2"/>
        <v>8</v>
      </c>
      <c r="M10" s="41">
        <f t="shared" si="3"/>
        <v>8</v>
      </c>
      <c r="N10" s="41">
        <f t="shared" si="4"/>
        <v>8</v>
      </c>
      <c r="O10" s="41">
        <f t="shared" si="5"/>
        <v>8</v>
      </c>
      <c r="P10" s="41">
        <f t="shared" si="6"/>
        <v>8</v>
      </c>
      <c r="Q10" s="15" t="s">
        <v>199</v>
      </c>
    </row>
    <row r="11" spans="1:17" s="15" customFormat="1" ht="38.1" customHeight="1">
      <c r="A11" s="31">
        <f t="shared" si="0"/>
        <v>5</v>
      </c>
      <c r="B11" s="38" t="s">
        <v>163</v>
      </c>
      <c r="C11" s="38"/>
      <c r="D11" s="31">
        <v>2</v>
      </c>
      <c r="E11" s="62">
        <v>3</v>
      </c>
      <c r="F11" s="62">
        <v>4</v>
      </c>
      <c r="G11" s="62">
        <v>4</v>
      </c>
      <c r="H11" s="62">
        <v>4</v>
      </c>
      <c r="I11" s="62">
        <v>4</v>
      </c>
      <c r="J11" s="62">
        <v>3</v>
      </c>
      <c r="K11" s="41">
        <f t="shared" si="1"/>
        <v>6</v>
      </c>
      <c r="L11" s="41">
        <f t="shared" si="2"/>
        <v>8</v>
      </c>
      <c r="M11" s="41">
        <f t="shared" si="3"/>
        <v>8</v>
      </c>
      <c r="N11" s="41">
        <f t="shared" si="4"/>
        <v>8</v>
      </c>
      <c r="O11" s="41">
        <f t="shared" si="5"/>
        <v>8</v>
      </c>
      <c r="P11" s="41">
        <f t="shared" si="6"/>
        <v>6</v>
      </c>
    </row>
    <row r="12" spans="1:17" s="15" customFormat="1" ht="36.9">
      <c r="A12" s="31">
        <f t="shared" si="0"/>
        <v>6</v>
      </c>
      <c r="B12" s="38" t="s">
        <v>164</v>
      </c>
      <c r="C12" s="38" t="s">
        <v>46</v>
      </c>
      <c r="D12" s="31">
        <v>2</v>
      </c>
      <c r="E12" s="62">
        <v>4</v>
      </c>
      <c r="F12" s="62">
        <v>3</v>
      </c>
      <c r="G12" s="62">
        <v>4</v>
      </c>
      <c r="H12" s="62">
        <v>4</v>
      </c>
      <c r="I12" s="62">
        <v>4</v>
      </c>
      <c r="J12" s="62">
        <v>3</v>
      </c>
      <c r="K12" s="41">
        <f t="shared" si="1"/>
        <v>8</v>
      </c>
      <c r="L12" s="41">
        <f t="shared" si="2"/>
        <v>6</v>
      </c>
      <c r="M12" s="41">
        <f t="shared" si="3"/>
        <v>8</v>
      </c>
      <c r="N12" s="41">
        <f t="shared" si="4"/>
        <v>8</v>
      </c>
      <c r="O12" s="41">
        <f t="shared" si="5"/>
        <v>8</v>
      </c>
      <c r="P12" s="41">
        <f t="shared" si="6"/>
        <v>6</v>
      </c>
    </row>
    <row r="13" spans="1:17" s="15" customFormat="1" ht="38.1" customHeight="1">
      <c r="A13" s="55">
        <f t="shared" si="0"/>
        <v>7</v>
      </c>
      <c r="B13" s="56" t="s">
        <v>165</v>
      </c>
      <c r="C13" s="56" t="s">
        <v>47</v>
      </c>
      <c r="D13" s="55">
        <v>3</v>
      </c>
      <c r="E13" s="63">
        <v>5</v>
      </c>
      <c r="F13" s="63">
        <v>5</v>
      </c>
      <c r="G13" s="63">
        <v>5</v>
      </c>
      <c r="H13" s="63">
        <v>5</v>
      </c>
      <c r="I13" s="63">
        <v>5</v>
      </c>
      <c r="J13" s="63">
        <v>5</v>
      </c>
      <c r="K13" s="55">
        <f t="shared" si="1"/>
        <v>15</v>
      </c>
      <c r="L13" s="55">
        <f t="shared" si="2"/>
        <v>15</v>
      </c>
      <c r="M13" s="55">
        <f t="shared" si="3"/>
        <v>15</v>
      </c>
      <c r="N13" s="55">
        <f t="shared" si="4"/>
        <v>15</v>
      </c>
      <c r="O13" s="55">
        <f t="shared" si="5"/>
        <v>15</v>
      </c>
      <c r="P13" s="55">
        <f t="shared" si="6"/>
        <v>15</v>
      </c>
    </row>
    <row r="14" spans="1:17" s="15" customFormat="1" ht="38.1" customHeight="1">
      <c r="A14" s="55">
        <f t="shared" si="0"/>
        <v>8</v>
      </c>
      <c r="B14" s="56" t="s">
        <v>48</v>
      </c>
      <c r="C14" s="56"/>
      <c r="D14" s="55">
        <v>1</v>
      </c>
      <c r="E14" s="63">
        <v>4</v>
      </c>
      <c r="F14" s="63">
        <v>3</v>
      </c>
      <c r="G14" s="63">
        <v>4</v>
      </c>
      <c r="H14" s="63">
        <v>4</v>
      </c>
      <c r="I14" s="63">
        <v>4</v>
      </c>
      <c r="J14" s="63">
        <v>3</v>
      </c>
      <c r="K14" s="55">
        <f t="shared" si="1"/>
        <v>4</v>
      </c>
      <c r="L14" s="55">
        <f t="shared" si="2"/>
        <v>3</v>
      </c>
      <c r="M14" s="55">
        <f t="shared" si="3"/>
        <v>4</v>
      </c>
      <c r="N14" s="55">
        <f t="shared" si="4"/>
        <v>4</v>
      </c>
      <c r="O14" s="55">
        <f t="shared" si="5"/>
        <v>4</v>
      </c>
      <c r="P14" s="55">
        <f t="shared" si="6"/>
        <v>3</v>
      </c>
    </row>
    <row r="15" spans="1:17" s="15" customFormat="1" ht="38.1" customHeight="1">
      <c r="A15" s="55">
        <f t="shared" si="0"/>
        <v>9</v>
      </c>
      <c r="B15" s="56" t="s">
        <v>166</v>
      </c>
      <c r="C15" s="56"/>
      <c r="D15" s="55">
        <v>1</v>
      </c>
      <c r="E15" s="63">
        <v>4</v>
      </c>
      <c r="F15" s="63">
        <v>4</v>
      </c>
      <c r="G15" s="63">
        <v>4</v>
      </c>
      <c r="H15" s="63">
        <v>4</v>
      </c>
      <c r="I15" s="63">
        <v>4</v>
      </c>
      <c r="J15" s="63">
        <v>4</v>
      </c>
      <c r="K15" s="55">
        <f t="shared" si="1"/>
        <v>4</v>
      </c>
      <c r="L15" s="55">
        <f t="shared" si="2"/>
        <v>4</v>
      </c>
      <c r="M15" s="55">
        <f t="shared" si="3"/>
        <v>4</v>
      </c>
      <c r="N15" s="55">
        <f t="shared" si="4"/>
        <v>4</v>
      </c>
      <c r="O15" s="55">
        <f t="shared" si="5"/>
        <v>4</v>
      </c>
      <c r="P15" s="55">
        <f t="shared" si="6"/>
        <v>4</v>
      </c>
    </row>
    <row r="16" spans="1:17" s="15" customFormat="1" ht="38.1" customHeight="1">
      <c r="A16" s="55">
        <f t="shared" si="0"/>
        <v>10</v>
      </c>
      <c r="B16" s="56" t="s">
        <v>167</v>
      </c>
      <c r="C16" s="56"/>
      <c r="D16" s="55">
        <v>2</v>
      </c>
      <c r="E16" s="63">
        <v>4</v>
      </c>
      <c r="F16" s="63">
        <v>2</v>
      </c>
      <c r="G16" s="63">
        <v>5</v>
      </c>
      <c r="H16" s="63">
        <v>5</v>
      </c>
      <c r="I16" s="63">
        <v>5</v>
      </c>
      <c r="J16" s="63">
        <v>2</v>
      </c>
      <c r="K16" s="55">
        <f t="shared" si="1"/>
        <v>8</v>
      </c>
      <c r="L16" s="55">
        <f t="shared" si="2"/>
        <v>4</v>
      </c>
      <c r="M16" s="55">
        <f t="shared" si="3"/>
        <v>10</v>
      </c>
      <c r="N16" s="55">
        <f t="shared" si="4"/>
        <v>10</v>
      </c>
      <c r="O16" s="55">
        <f t="shared" si="5"/>
        <v>10</v>
      </c>
      <c r="P16" s="55">
        <f t="shared" si="6"/>
        <v>4</v>
      </c>
    </row>
    <row r="17" spans="1:17" s="15" customFormat="1" ht="36.9">
      <c r="A17" s="55">
        <f t="shared" si="0"/>
        <v>11</v>
      </c>
      <c r="B17" s="56" t="s">
        <v>168</v>
      </c>
      <c r="C17" s="56" t="s">
        <v>169</v>
      </c>
      <c r="D17" s="55">
        <v>3</v>
      </c>
      <c r="E17" s="63">
        <v>4</v>
      </c>
      <c r="F17" s="63">
        <v>4</v>
      </c>
      <c r="G17" s="63">
        <v>5</v>
      </c>
      <c r="H17" s="63">
        <v>5</v>
      </c>
      <c r="I17" s="63">
        <v>5</v>
      </c>
      <c r="J17" s="63">
        <v>4</v>
      </c>
      <c r="K17" s="55">
        <f t="shared" si="1"/>
        <v>12</v>
      </c>
      <c r="L17" s="55">
        <f t="shared" si="2"/>
        <v>12</v>
      </c>
      <c r="M17" s="55">
        <f t="shared" si="3"/>
        <v>15</v>
      </c>
      <c r="N17" s="55">
        <f t="shared" si="4"/>
        <v>15</v>
      </c>
      <c r="O17" s="55">
        <f t="shared" si="5"/>
        <v>15</v>
      </c>
      <c r="P17" s="55">
        <f t="shared" si="6"/>
        <v>12</v>
      </c>
    </row>
    <row r="18" spans="1:17" s="15" customFormat="1" ht="49.2">
      <c r="A18" s="55">
        <f t="shared" ref="A18:A29" si="7">SUM(A17,1)</f>
        <v>12</v>
      </c>
      <c r="B18" s="56" t="s">
        <v>170</v>
      </c>
      <c r="C18" s="56" t="s">
        <v>171</v>
      </c>
      <c r="D18" s="55">
        <v>3</v>
      </c>
      <c r="E18" s="63">
        <v>5</v>
      </c>
      <c r="F18" s="63">
        <v>4</v>
      </c>
      <c r="G18" s="63">
        <v>5</v>
      </c>
      <c r="H18" s="63">
        <v>5</v>
      </c>
      <c r="I18" s="63">
        <v>5</v>
      </c>
      <c r="J18" s="63">
        <v>4</v>
      </c>
      <c r="K18" s="55">
        <f t="shared" si="1"/>
        <v>15</v>
      </c>
      <c r="L18" s="55">
        <f t="shared" si="2"/>
        <v>12</v>
      </c>
      <c r="M18" s="55">
        <f t="shared" si="3"/>
        <v>15</v>
      </c>
      <c r="N18" s="55">
        <f t="shared" si="4"/>
        <v>15</v>
      </c>
      <c r="O18" s="55">
        <f t="shared" si="5"/>
        <v>15</v>
      </c>
      <c r="P18" s="55">
        <f t="shared" si="6"/>
        <v>12</v>
      </c>
    </row>
    <row r="19" spans="1:17" ht="36.9">
      <c r="A19" s="55">
        <f t="shared" si="7"/>
        <v>13</v>
      </c>
      <c r="B19" s="56" t="s">
        <v>172</v>
      </c>
      <c r="C19" s="56" t="s">
        <v>173</v>
      </c>
      <c r="D19" s="55">
        <v>3</v>
      </c>
      <c r="E19" s="63">
        <v>5</v>
      </c>
      <c r="F19" s="63">
        <v>5</v>
      </c>
      <c r="G19" s="63">
        <v>5</v>
      </c>
      <c r="H19" s="63">
        <v>5</v>
      </c>
      <c r="I19" s="63">
        <v>5</v>
      </c>
      <c r="J19" s="63">
        <v>5</v>
      </c>
      <c r="K19" s="55">
        <f t="shared" si="1"/>
        <v>15</v>
      </c>
      <c r="L19" s="55">
        <f t="shared" si="2"/>
        <v>15</v>
      </c>
      <c r="M19" s="55">
        <f t="shared" si="3"/>
        <v>15</v>
      </c>
      <c r="N19" s="55">
        <f t="shared" si="4"/>
        <v>15</v>
      </c>
      <c r="O19" s="55">
        <f t="shared" si="5"/>
        <v>15</v>
      </c>
      <c r="P19" s="55">
        <f t="shared" si="6"/>
        <v>15</v>
      </c>
      <c r="Q19" s="8" t="s">
        <v>199</v>
      </c>
    </row>
    <row r="20" spans="1:17" ht="86.1">
      <c r="A20" s="39">
        <f t="shared" si="7"/>
        <v>14</v>
      </c>
      <c r="B20" s="38" t="s">
        <v>174</v>
      </c>
      <c r="C20" s="38" t="s">
        <v>175</v>
      </c>
      <c r="D20" s="39">
        <v>2</v>
      </c>
      <c r="E20" s="62">
        <v>3</v>
      </c>
      <c r="F20" s="62">
        <v>3</v>
      </c>
      <c r="G20" s="62">
        <v>3</v>
      </c>
      <c r="H20" s="62">
        <v>3</v>
      </c>
      <c r="I20" s="62">
        <v>3</v>
      </c>
      <c r="J20" s="62">
        <v>3</v>
      </c>
      <c r="K20" s="41">
        <f t="shared" si="1"/>
        <v>6</v>
      </c>
      <c r="L20" s="41">
        <f t="shared" si="2"/>
        <v>6</v>
      </c>
      <c r="M20" s="41">
        <f t="shared" si="3"/>
        <v>6</v>
      </c>
      <c r="N20" s="41">
        <f t="shared" si="4"/>
        <v>6</v>
      </c>
      <c r="O20" s="41">
        <f t="shared" si="5"/>
        <v>6</v>
      </c>
      <c r="P20" s="41">
        <f t="shared" si="6"/>
        <v>6</v>
      </c>
    </row>
    <row r="21" spans="1:17" ht="38.1" customHeight="1">
      <c r="A21" s="55">
        <f t="shared" si="7"/>
        <v>15</v>
      </c>
      <c r="B21" s="56" t="s">
        <v>176</v>
      </c>
      <c r="C21" s="56" t="s">
        <v>49</v>
      </c>
      <c r="D21" s="55">
        <v>3</v>
      </c>
      <c r="E21" s="63">
        <v>5</v>
      </c>
      <c r="F21" s="63">
        <v>5</v>
      </c>
      <c r="G21" s="63">
        <v>5</v>
      </c>
      <c r="H21" s="63">
        <v>5</v>
      </c>
      <c r="I21" s="63">
        <v>5</v>
      </c>
      <c r="J21" s="63">
        <v>5</v>
      </c>
      <c r="K21" s="55">
        <f t="shared" si="1"/>
        <v>15</v>
      </c>
      <c r="L21" s="55">
        <f t="shared" si="2"/>
        <v>15</v>
      </c>
      <c r="M21" s="55">
        <f t="shared" si="3"/>
        <v>15</v>
      </c>
      <c r="N21" s="55">
        <f t="shared" si="4"/>
        <v>15</v>
      </c>
      <c r="O21" s="55">
        <f t="shared" si="5"/>
        <v>15</v>
      </c>
      <c r="P21" s="55">
        <f t="shared" si="6"/>
        <v>15</v>
      </c>
    </row>
    <row r="22" spans="1:17" ht="38.1" customHeight="1">
      <c r="A22" s="55">
        <f t="shared" si="7"/>
        <v>16</v>
      </c>
      <c r="B22" s="56" t="s">
        <v>177</v>
      </c>
      <c r="C22" s="56" t="s">
        <v>50</v>
      </c>
      <c r="D22" s="55">
        <v>3</v>
      </c>
      <c r="E22" s="63">
        <v>5</v>
      </c>
      <c r="F22" s="63">
        <v>5</v>
      </c>
      <c r="G22" s="63">
        <v>5</v>
      </c>
      <c r="H22" s="63">
        <v>5</v>
      </c>
      <c r="I22" s="63">
        <v>5</v>
      </c>
      <c r="J22" s="63">
        <v>5</v>
      </c>
      <c r="K22" s="55">
        <f t="shared" si="1"/>
        <v>15</v>
      </c>
      <c r="L22" s="55">
        <f t="shared" si="2"/>
        <v>15</v>
      </c>
      <c r="M22" s="55">
        <f t="shared" si="3"/>
        <v>15</v>
      </c>
      <c r="N22" s="55">
        <f t="shared" si="4"/>
        <v>15</v>
      </c>
      <c r="O22" s="55">
        <f t="shared" si="5"/>
        <v>15</v>
      </c>
      <c r="P22" s="55">
        <f t="shared" si="6"/>
        <v>15</v>
      </c>
    </row>
    <row r="23" spans="1:17" ht="38.1" customHeight="1">
      <c r="A23" s="55">
        <f t="shared" si="7"/>
        <v>17</v>
      </c>
      <c r="B23" s="56" t="s">
        <v>178</v>
      </c>
      <c r="C23" s="56" t="s">
        <v>51</v>
      </c>
      <c r="D23" s="58" t="s">
        <v>301</v>
      </c>
      <c r="E23" s="63">
        <v>5</v>
      </c>
      <c r="F23" s="63">
        <v>4</v>
      </c>
      <c r="G23" s="63">
        <v>4</v>
      </c>
      <c r="H23" s="63">
        <v>4</v>
      </c>
      <c r="I23" s="63">
        <v>4</v>
      </c>
      <c r="J23" s="63">
        <v>4</v>
      </c>
      <c r="K23" s="55">
        <f t="shared" si="1"/>
        <v>5</v>
      </c>
      <c r="L23" s="55">
        <f t="shared" si="2"/>
        <v>4</v>
      </c>
      <c r="M23" s="55">
        <f t="shared" si="3"/>
        <v>4</v>
      </c>
      <c r="N23" s="55">
        <f t="shared" si="4"/>
        <v>4</v>
      </c>
      <c r="O23" s="55">
        <f t="shared" si="5"/>
        <v>4</v>
      </c>
      <c r="P23" s="55">
        <f t="shared" si="6"/>
        <v>4</v>
      </c>
    </row>
    <row r="24" spans="1:17" ht="36.9">
      <c r="A24" s="55">
        <f t="shared" si="7"/>
        <v>18</v>
      </c>
      <c r="B24" s="56" t="s">
        <v>179</v>
      </c>
      <c r="C24" s="56" t="s">
        <v>52</v>
      </c>
      <c r="D24" s="55">
        <v>3</v>
      </c>
      <c r="E24" s="63">
        <v>5</v>
      </c>
      <c r="F24" s="63">
        <v>5</v>
      </c>
      <c r="G24" s="63">
        <v>5</v>
      </c>
      <c r="H24" s="63">
        <v>5</v>
      </c>
      <c r="I24" s="63">
        <v>5</v>
      </c>
      <c r="J24" s="63">
        <v>5</v>
      </c>
      <c r="K24" s="55">
        <f t="shared" si="1"/>
        <v>15</v>
      </c>
      <c r="L24" s="55">
        <f t="shared" si="2"/>
        <v>15</v>
      </c>
      <c r="M24" s="55">
        <f t="shared" si="3"/>
        <v>15</v>
      </c>
      <c r="N24" s="55">
        <f t="shared" si="4"/>
        <v>15</v>
      </c>
      <c r="O24" s="55">
        <f t="shared" si="5"/>
        <v>15</v>
      </c>
      <c r="P24" s="55">
        <f t="shared" si="6"/>
        <v>15</v>
      </c>
    </row>
    <row r="25" spans="1:17" ht="36.9">
      <c r="A25" s="31">
        <f t="shared" si="7"/>
        <v>19</v>
      </c>
      <c r="B25" s="38" t="s">
        <v>53</v>
      </c>
      <c r="C25" s="38"/>
      <c r="D25" s="31">
        <v>2</v>
      </c>
      <c r="E25" s="62">
        <v>3</v>
      </c>
      <c r="F25" s="62">
        <v>3</v>
      </c>
      <c r="G25" s="62">
        <v>4</v>
      </c>
      <c r="H25" s="62">
        <v>4</v>
      </c>
      <c r="I25" s="62">
        <v>4</v>
      </c>
      <c r="J25" s="62">
        <v>3</v>
      </c>
      <c r="K25" s="41">
        <f t="shared" si="1"/>
        <v>6</v>
      </c>
      <c r="L25" s="41">
        <f t="shared" si="2"/>
        <v>6</v>
      </c>
      <c r="M25" s="41">
        <f t="shared" si="3"/>
        <v>8</v>
      </c>
      <c r="N25" s="41">
        <f t="shared" si="4"/>
        <v>8</v>
      </c>
      <c r="O25" s="41">
        <f t="shared" si="5"/>
        <v>8</v>
      </c>
      <c r="P25" s="41">
        <f t="shared" si="6"/>
        <v>6</v>
      </c>
      <c r="Q25" s="8" t="s">
        <v>199</v>
      </c>
    </row>
    <row r="26" spans="1:17" ht="36.9">
      <c r="A26" s="39">
        <f t="shared" si="7"/>
        <v>20</v>
      </c>
      <c r="B26" s="38" t="s">
        <v>54</v>
      </c>
      <c r="C26" s="38"/>
      <c r="D26" s="39">
        <v>2</v>
      </c>
      <c r="E26" s="62">
        <v>3</v>
      </c>
      <c r="F26" s="62">
        <v>3</v>
      </c>
      <c r="G26" s="62">
        <v>4</v>
      </c>
      <c r="H26" s="62">
        <v>4</v>
      </c>
      <c r="I26" s="62">
        <v>4</v>
      </c>
      <c r="J26" s="62">
        <v>3</v>
      </c>
      <c r="K26" s="41">
        <f t="shared" si="1"/>
        <v>6</v>
      </c>
      <c r="L26" s="41">
        <f t="shared" si="2"/>
        <v>6</v>
      </c>
      <c r="M26" s="41">
        <f t="shared" si="3"/>
        <v>8</v>
      </c>
      <c r="N26" s="41">
        <f t="shared" si="4"/>
        <v>8</v>
      </c>
      <c r="O26" s="41">
        <f t="shared" si="5"/>
        <v>8</v>
      </c>
      <c r="P26" s="41">
        <f t="shared" si="6"/>
        <v>6</v>
      </c>
      <c r="Q26" s="8" t="s">
        <v>199</v>
      </c>
    </row>
    <row r="27" spans="1:17" ht="36.9">
      <c r="A27" s="39">
        <f t="shared" si="7"/>
        <v>21</v>
      </c>
      <c r="B27" s="38" t="s">
        <v>55</v>
      </c>
      <c r="C27" s="38"/>
      <c r="D27" s="39">
        <v>2</v>
      </c>
      <c r="E27" s="62">
        <v>3</v>
      </c>
      <c r="F27" s="62">
        <v>3</v>
      </c>
      <c r="G27" s="62">
        <v>4</v>
      </c>
      <c r="H27" s="62">
        <v>4</v>
      </c>
      <c r="I27" s="62">
        <v>4</v>
      </c>
      <c r="J27" s="62">
        <v>3</v>
      </c>
      <c r="K27" s="41">
        <f t="shared" si="1"/>
        <v>6</v>
      </c>
      <c r="L27" s="41">
        <f t="shared" si="2"/>
        <v>6</v>
      </c>
      <c r="M27" s="41">
        <f t="shared" si="3"/>
        <v>8</v>
      </c>
      <c r="N27" s="41">
        <f t="shared" si="4"/>
        <v>8</v>
      </c>
      <c r="O27" s="41">
        <f t="shared" si="5"/>
        <v>8</v>
      </c>
      <c r="P27" s="41">
        <f t="shared" si="6"/>
        <v>6</v>
      </c>
      <c r="Q27" s="8" t="s">
        <v>199</v>
      </c>
    </row>
    <row r="28" spans="1:17" ht="36.9">
      <c r="A28" s="39">
        <f t="shared" si="7"/>
        <v>22</v>
      </c>
      <c r="B28" s="38" t="s">
        <v>56</v>
      </c>
      <c r="C28" s="38"/>
      <c r="D28" s="39">
        <v>2</v>
      </c>
      <c r="E28" s="62">
        <v>3</v>
      </c>
      <c r="F28" s="62">
        <v>3</v>
      </c>
      <c r="G28" s="62">
        <v>4</v>
      </c>
      <c r="H28" s="62">
        <v>4</v>
      </c>
      <c r="I28" s="62">
        <v>4</v>
      </c>
      <c r="J28" s="62">
        <v>3</v>
      </c>
      <c r="K28" s="41">
        <f t="shared" si="1"/>
        <v>6</v>
      </c>
      <c r="L28" s="41">
        <f t="shared" si="2"/>
        <v>6</v>
      </c>
      <c r="M28" s="41">
        <f t="shared" si="3"/>
        <v>8</v>
      </c>
      <c r="N28" s="41">
        <f t="shared" si="4"/>
        <v>8</v>
      </c>
      <c r="O28" s="41">
        <f t="shared" si="5"/>
        <v>8</v>
      </c>
      <c r="P28" s="41">
        <f t="shared" si="6"/>
        <v>6</v>
      </c>
      <c r="Q28" s="8" t="s">
        <v>199</v>
      </c>
    </row>
    <row r="29" spans="1:17" ht="36.9">
      <c r="A29" s="39">
        <f t="shared" si="7"/>
        <v>23</v>
      </c>
      <c r="B29" s="38" t="s">
        <v>57</v>
      </c>
      <c r="C29" s="38"/>
      <c r="D29" s="39">
        <v>2</v>
      </c>
      <c r="E29" s="62">
        <v>3</v>
      </c>
      <c r="F29" s="62">
        <v>3</v>
      </c>
      <c r="G29" s="62">
        <v>4</v>
      </c>
      <c r="H29" s="62">
        <v>4</v>
      </c>
      <c r="I29" s="62">
        <v>4</v>
      </c>
      <c r="J29" s="62">
        <v>3</v>
      </c>
      <c r="K29" s="41">
        <f t="shared" si="1"/>
        <v>6</v>
      </c>
      <c r="L29" s="41">
        <f t="shared" si="2"/>
        <v>6</v>
      </c>
      <c r="M29" s="41">
        <f t="shared" si="3"/>
        <v>8</v>
      </c>
      <c r="N29" s="41">
        <f t="shared" si="4"/>
        <v>8</v>
      </c>
      <c r="O29" s="41">
        <f t="shared" si="5"/>
        <v>8</v>
      </c>
      <c r="P29" s="41">
        <f t="shared" si="6"/>
        <v>6</v>
      </c>
      <c r="Q29" s="8" t="s">
        <v>199</v>
      </c>
    </row>
    <row r="30" spans="1:17" ht="36.9">
      <c r="A30" s="39">
        <f t="shared" ref="A30:A59" si="8">SUM(A29,1)</f>
        <v>24</v>
      </c>
      <c r="B30" s="38" t="s">
        <v>180</v>
      </c>
      <c r="C30" s="38"/>
      <c r="D30" s="39">
        <v>2</v>
      </c>
      <c r="E30" s="62">
        <v>3</v>
      </c>
      <c r="F30" s="62">
        <v>3</v>
      </c>
      <c r="G30" s="62">
        <v>4</v>
      </c>
      <c r="H30" s="62">
        <v>4</v>
      </c>
      <c r="I30" s="62">
        <v>4</v>
      </c>
      <c r="J30" s="62">
        <v>3</v>
      </c>
      <c r="K30" s="41">
        <f t="shared" si="1"/>
        <v>6</v>
      </c>
      <c r="L30" s="41">
        <f t="shared" si="2"/>
        <v>6</v>
      </c>
      <c r="M30" s="41">
        <f t="shared" si="3"/>
        <v>8</v>
      </c>
      <c r="N30" s="41">
        <f t="shared" si="4"/>
        <v>8</v>
      </c>
      <c r="O30" s="41">
        <f t="shared" si="5"/>
        <v>8</v>
      </c>
      <c r="P30" s="41">
        <f t="shared" si="6"/>
        <v>6</v>
      </c>
      <c r="Q30" s="8" t="s">
        <v>199</v>
      </c>
    </row>
    <row r="31" spans="1:17" ht="38.1" customHeight="1">
      <c r="A31" s="39">
        <f t="shared" si="8"/>
        <v>25</v>
      </c>
      <c r="B31" s="38" t="s">
        <v>181</v>
      </c>
      <c r="C31" s="38"/>
      <c r="D31" s="39">
        <v>2</v>
      </c>
      <c r="E31" s="62">
        <v>3</v>
      </c>
      <c r="F31" s="62">
        <v>3</v>
      </c>
      <c r="G31" s="62">
        <v>4</v>
      </c>
      <c r="H31" s="62">
        <v>4</v>
      </c>
      <c r="I31" s="62">
        <v>4</v>
      </c>
      <c r="J31" s="62">
        <v>3</v>
      </c>
      <c r="K31" s="41">
        <f t="shared" si="1"/>
        <v>6</v>
      </c>
      <c r="L31" s="41">
        <f t="shared" si="2"/>
        <v>6</v>
      </c>
      <c r="M31" s="41">
        <f t="shared" si="3"/>
        <v>8</v>
      </c>
      <c r="N31" s="41">
        <f t="shared" si="4"/>
        <v>8</v>
      </c>
      <c r="O31" s="41">
        <f t="shared" si="5"/>
        <v>8</v>
      </c>
      <c r="P31" s="41">
        <f t="shared" si="6"/>
        <v>6</v>
      </c>
      <c r="Q31" s="8" t="s">
        <v>199</v>
      </c>
    </row>
    <row r="32" spans="1:17" ht="38.1" customHeight="1">
      <c r="A32" s="39">
        <f t="shared" si="8"/>
        <v>26</v>
      </c>
      <c r="B32" s="38" t="s">
        <v>182</v>
      </c>
      <c r="C32" s="38"/>
      <c r="D32" s="39">
        <v>2</v>
      </c>
      <c r="E32" s="62">
        <v>3</v>
      </c>
      <c r="F32" s="62">
        <v>3</v>
      </c>
      <c r="G32" s="62">
        <v>4</v>
      </c>
      <c r="H32" s="62">
        <v>4</v>
      </c>
      <c r="I32" s="62">
        <v>4</v>
      </c>
      <c r="J32" s="62">
        <v>3</v>
      </c>
      <c r="K32" s="41">
        <f t="shared" si="1"/>
        <v>6</v>
      </c>
      <c r="L32" s="41">
        <f t="shared" si="2"/>
        <v>6</v>
      </c>
      <c r="M32" s="41">
        <f t="shared" si="3"/>
        <v>8</v>
      </c>
      <c r="N32" s="41">
        <f t="shared" si="4"/>
        <v>8</v>
      </c>
      <c r="O32" s="41">
        <f t="shared" si="5"/>
        <v>8</v>
      </c>
      <c r="P32" s="41">
        <f t="shared" si="6"/>
        <v>6</v>
      </c>
      <c r="Q32" s="8" t="s">
        <v>199</v>
      </c>
    </row>
    <row r="33" spans="1:17" ht="38.1" customHeight="1">
      <c r="A33" s="39">
        <f t="shared" si="8"/>
        <v>27</v>
      </c>
      <c r="B33" s="38" t="s">
        <v>183</v>
      </c>
      <c r="C33" s="38"/>
      <c r="D33" s="39">
        <v>2</v>
      </c>
      <c r="E33" s="62">
        <v>3</v>
      </c>
      <c r="F33" s="62">
        <v>3</v>
      </c>
      <c r="G33" s="62">
        <v>4</v>
      </c>
      <c r="H33" s="62">
        <v>4</v>
      </c>
      <c r="I33" s="62">
        <v>4</v>
      </c>
      <c r="J33" s="62">
        <v>3</v>
      </c>
      <c r="K33" s="41">
        <f t="shared" si="1"/>
        <v>6</v>
      </c>
      <c r="L33" s="41">
        <f t="shared" si="2"/>
        <v>6</v>
      </c>
      <c r="M33" s="41">
        <f t="shared" si="3"/>
        <v>8</v>
      </c>
      <c r="N33" s="41">
        <f t="shared" si="4"/>
        <v>8</v>
      </c>
      <c r="O33" s="41">
        <f t="shared" si="5"/>
        <v>8</v>
      </c>
      <c r="P33" s="41">
        <f t="shared" si="6"/>
        <v>6</v>
      </c>
      <c r="Q33" s="8" t="s">
        <v>199</v>
      </c>
    </row>
    <row r="34" spans="1:17" ht="38.1" customHeight="1">
      <c r="A34" s="39">
        <f t="shared" si="8"/>
        <v>28</v>
      </c>
      <c r="B34" s="38" t="s">
        <v>184</v>
      </c>
      <c r="C34" s="38"/>
      <c r="D34" s="39">
        <v>2</v>
      </c>
      <c r="E34" s="62">
        <v>3</v>
      </c>
      <c r="F34" s="62">
        <v>3</v>
      </c>
      <c r="G34" s="62">
        <v>4</v>
      </c>
      <c r="H34" s="62">
        <v>4</v>
      </c>
      <c r="I34" s="64">
        <v>4</v>
      </c>
      <c r="J34" s="62">
        <v>3</v>
      </c>
      <c r="K34" s="41">
        <f t="shared" si="1"/>
        <v>6</v>
      </c>
      <c r="L34" s="41">
        <f t="shared" si="2"/>
        <v>6</v>
      </c>
      <c r="M34" s="41">
        <f t="shared" si="3"/>
        <v>8</v>
      </c>
      <c r="N34" s="41">
        <f t="shared" si="4"/>
        <v>8</v>
      </c>
      <c r="O34" s="41">
        <f t="shared" si="5"/>
        <v>8</v>
      </c>
      <c r="P34" s="41">
        <f t="shared" si="6"/>
        <v>6</v>
      </c>
      <c r="Q34" s="8" t="s">
        <v>199</v>
      </c>
    </row>
    <row r="35" spans="1:17" ht="38.1" customHeight="1">
      <c r="A35" s="39">
        <f t="shared" si="8"/>
        <v>29</v>
      </c>
      <c r="B35" s="38" t="s">
        <v>185</v>
      </c>
      <c r="C35" s="38"/>
      <c r="D35" s="39">
        <v>2</v>
      </c>
      <c r="E35" s="62">
        <v>3</v>
      </c>
      <c r="F35" s="62">
        <v>3</v>
      </c>
      <c r="G35" s="62">
        <v>4</v>
      </c>
      <c r="H35" s="62">
        <v>4</v>
      </c>
      <c r="I35" s="62">
        <v>4</v>
      </c>
      <c r="J35" s="62">
        <v>3</v>
      </c>
      <c r="K35" s="41">
        <f t="shared" si="1"/>
        <v>6</v>
      </c>
      <c r="L35" s="41">
        <f t="shared" si="2"/>
        <v>6</v>
      </c>
      <c r="M35" s="41">
        <f t="shared" si="3"/>
        <v>8</v>
      </c>
      <c r="N35" s="41">
        <f t="shared" si="4"/>
        <v>8</v>
      </c>
      <c r="O35" s="41">
        <f t="shared" si="5"/>
        <v>8</v>
      </c>
      <c r="P35" s="41">
        <f t="shared" si="6"/>
        <v>6</v>
      </c>
      <c r="Q35" s="8" t="s">
        <v>199</v>
      </c>
    </row>
    <row r="36" spans="1:17" ht="38.1" customHeight="1">
      <c r="A36" s="39">
        <f t="shared" si="8"/>
        <v>30</v>
      </c>
      <c r="B36" s="38" t="s">
        <v>188</v>
      </c>
      <c r="C36" s="38" t="s">
        <v>58</v>
      </c>
      <c r="D36" s="39">
        <v>2</v>
      </c>
      <c r="E36" s="62">
        <v>3</v>
      </c>
      <c r="F36" s="62">
        <v>3</v>
      </c>
      <c r="G36" s="62">
        <v>4</v>
      </c>
      <c r="H36" s="62">
        <v>5</v>
      </c>
      <c r="I36" s="62">
        <v>4</v>
      </c>
      <c r="J36" s="62">
        <v>3</v>
      </c>
      <c r="K36" s="41">
        <f t="shared" si="1"/>
        <v>6</v>
      </c>
      <c r="L36" s="41">
        <f t="shared" si="2"/>
        <v>6</v>
      </c>
      <c r="M36" s="41">
        <f t="shared" si="3"/>
        <v>8</v>
      </c>
      <c r="N36" s="41">
        <f t="shared" si="4"/>
        <v>10</v>
      </c>
      <c r="O36" s="41">
        <f t="shared" si="5"/>
        <v>8</v>
      </c>
      <c r="P36" s="41">
        <f t="shared" si="6"/>
        <v>6</v>
      </c>
      <c r="Q36" s="8" t="s">
        <v>199</v>
      </c>
    </row>
    <row r="37" spans="1:17" ht="38.1" customHeight="1">
      <c r="A37" s="39">
        <f t="shared" si="8"/>
        <v>31</v>
      </c>
      <c r="B37" s="38" t="s">
        <v>187</v>
      </c>
      <c r="C37" s="38" t="s">
        <v>186</v>
      </c>
      <c r="D37" s="39">
        <v>2</v>
      </c>
      <c r="E37" s="62">
        <v>5</v>
      </c>
      <c r="F37" s="62">
        <v>4</v>
      </c>
      <c r="G37" s="62">
        <v>5</v>
      </c>
      <c r="H37" s="62">
        <v>5</v>
      </c>
      <c r="I37" s="62">
        <v>5</v>
      </c>
      <c r="J37" s="62">
        <v>3</v>
      </c>
      <c r="K37" s="41">
        <f t="shared" si="1"/>
        <v>10</v>
      </c>
      <c r="L37" s="41">
        <f t="shared" si="2"/>
        <v>8</v>
      </c>
      <c r="M37" s="41">
        <f t="shared" si="3"/>
        <v>10</v>
      </c>
      <c r="N37" s="41">
        <f t="shared" si="4"/>
        <v>10</v>
      </c>
      <c r="O37" s="41">
        <f t="shared" si="5"/>
        <v>10</v>
      </c>
      <c r="P37" s="41">
        <f t="shared" si="6"/>
        <v>6</v>
      </c>
    </row>
    <row r="38" spans="1:17" ht="24.6">
      <c r="A38" s="39">
        <f t="shared" si="8"/>
        <v>32</v>
      </c>
      <c r="B38" s="38" t="s">
        <v>59</v>
      </c>
      <c r="C38" s="38"/>
      <c r="D38" s="39">
        <v>2</v>
      </c>
      <c r="E38" s="62">
        <v>5</v>
      </c>
      <c r="F38" s="62">
        <v>3</v>
      </c>
      <c r="G38" s="62">
        <v>5</v>
      </c>
      <c r="H38" s="62">
        <v>4</v>
      </c>
      <c r="I38" s="62">
        <v>5</v>
      </c>
      <c r="J38" s="62">
        <v>3</v>
      </c>
      <c r="K38" s="41">
        <f t="shared" si="1"/>
        <v>10</v>
      </c>
      <c r="L38" s="41">
        <f t="shared" si="2"/>
        <v>6</v>
      </c>
      <c r="M38" s="41">
        <f t="shared" si="3"/>
        <v>10</v>
      </c>
      <c r="N38" s="41">
        <f t="shared" si="4"/>
        <v>8</v>
      </c>
      <c r="O38" s="41">
        <f t="shared" si="5"/>
        <v>10</v>
      </c>
      <c r="P38" s="41">
        <f t="shared" si="6"/>
        <v>6</v>
      </c>
    </row>
    <row r="39" spans="1:17" ht="38.1" customHeight="1">
      <c r="A39" s="31">
        <f t="shared" si="8"/>
        <v>33</v>
      </c>
      <c r="B39" s="38" t="s">
        <v>189</v>
      </c>
      <c r="C39" s="38" t="s">
        <v>190</v>
      </c>
      <c r="D39" s="31">
        <v>2</v>
      </c>
      <c r="E39" s="62">
        <v>5</v>
      </c>
      <c r="F39" s="62">
        <v>2</v>
      </c>
      <c r="G39" s="62">
        <v>4</v>
      </c>
      <c r="H39" s="62">
        <v>3</v>
      </c>
      <c r="I39" s="62">
        <v>4</v>
      </c>
      <c r="J39" s="62">
        <v>2</v>
      </c>
      <c r="K39" s="41">
        <f t="shared" si="1"/>
        <v>10</v>
      </c>
      <c r="L39" s="41">
        <f t="shared" si="2"/>
        <v>4</v>
      </c>
      <c r="M39" s="41">
        <f t="shared" si="3"/>
        <v>8</v>
      </c>
      <c r="N39" s="41">
        <f t="shared" si="4"/>
        <v>6</v>
      </c>
      <c r="O39" s="41">
        <f t="shared" si="5"/>
        <v>8</v>
      </c>
      <c r="P39" s="41">
        <f t="shared" si="6"/>
        <v>4</v>
      </c>
    </row>
    <row r="40" spans="1:17" ht="36.9">
      <c r="A40" s="31">
        <f t="shared" si="8"/>
        <v>34</v>
      </c>
      <c r="B40" s="38" t="s">
        <v>191</v>
      </c>
      <c r="C40" s="38" t="s">
        <v>60</v>
      </c>
      <c r="D40" s="31">
        <v>2</v>
      </c>
      <c r="E40" s="62">
        <v>5</v>
      </c>
      <c r="F40" s="62">
        <v>2</v>
      </c>
      <c r="G40" s="62">
        <v>4</v>
      </c>
      <c r="H40" s="62">
        <v>3</v>
      </c>
      <c r="I40" s="62">
        <v>4</v>
      </c>
      <c r="J40" s="62">
        <v>2</v>
      </c>
      <c r="K40" s="41">
        <f t="shared" si="1"/>
        <v>10</v>
      </c>
      <c r="L40" s="41">
        <f t="shared" si="2"/>
        <v>4</v>
      </c>
      <c r="M40" s="41">
        <f t="shared" si="3"/>
        <v>8</v>
      </c>
      <c r="N40" s="41">
        <f t="shared" si="4"/>
        <v>6</v>
      </c>
      <c r="O40" s="41">
        <f t="shared" si="5"/>
        <v>8</v>
      </c>
      <c r="P40" s="41">
        <f t="shared" si="6"/>
        <v>4</v>
      </c>
    </row>
    <row r="41" spans="1:17" ht="38.1" customHeight="1">
      <c r="A41" s="55">
        <f t="shared" si="8"/>
        <v>35</v>
      </c>
      <c r="B41" s="56" t="s">
        <v>192</v>
      </c>
      <c r="C41" s="56" t="s">
        <v>61</v>
      </c>
      <c r="D41" s="55">
        <v>1</v>
      </c>
      <c r="E41" s="63">
        <v>5</v>
      </c>
      <c r="F41" s="63">
        <v>5</v>
      </c>
      <c r="G41" s="63">
        <v>5</v>
      </c>
      <c r="H41" s="63">
        <v>5</v>
      </c>
      <c r="I41" s="63">
        <v>5</v>
      </c>
      <c r="J41" s="63">
        <v>5</v>
      </c>
      <c r="K41" s="55">
        <f t="shared" si="1"/>
        <v>5</v>
      </c>
      <c r="L41" s="55">
        <f t="shared" si="2"/>
        <v>5</v>
      </c>
      <c r="M41" s="55">
        <f t="shared" si="3"/>
        <v>5</v>
      </c>
      <c r="N41" s="55">
        <f t="shared" si="4"/>
        <v>5</v>
      </c>
      <c r="O41" s="55">
        <f t="shared" si="5"/>
        <v>5</v>
      </c>
      <c r="P41" s="55">
        <f t="shared" si="6"/>
        <v>5</v>
      </c>
    </row>
    <row r="42" spans="1:17" ht="36.9">
      <c r="A42" s="55">
        <f t="shared" si="8"/>
        <v>36</v>
      </c>
      <c r="B42" s="56" t="s">
        <v>193</v>
      </c>
      <c r="C42" s="56" t="s">
        <v>62</v>
      </c>
      <c r="D42" s="55">
        <v>1</v>
      </c>
      <c r="E42" s="63">
        <v>5</v>
      </c>
      <c r="F42" s="63">
        <v>5</v>
      </c>
      <c r="G42" s="63">
        <v>5</v>
      </c>
      <c r="H42" s="63">
        <v>5</v>
      </c>
      <c r="I42" s="63">
        <v>5</v>
      </c>
      <c r="J42" s="63">
        <v>5</v>
      </c>
      <c r="K42" s="55">
        <f t="shared" si="1"/>
        <v>5</v>
      </c>
      <c r="L42" s="55">
        <f t="shared" si="2"/>
        <v>5</v>
      </c>
      <c r="M42" s="55">
        <f t="shared" si="3"/>
        <v>5</v>
      </c>
      <c r="N42" s="55">
        <f t="shared" si="4"/>
        <v>5</v>
      </c>
      <c r="O42" s="55">
        <f t="shared" si="5"/>
        <v>5</v>
      </c>
      <c r="P42" s="55">
        <f t="shared" si="6"/>
        <v>5</v>
      </c>
    </row>
    <row r="43" spans="1:17" ht="38.1" customHeight="1">
      <c r="A43" s="39">
        <f t="shared" si="8"/>
        <v>37</v>
      </c>
      <c r="B43" s="38" t="s">
        <v>194</v>
      </c>
      <c r="C43" s="38"/>
      <c r="D43" s="39">
        <v>2</v>
      </c>
      <c r="E43" s="62">
        <v>3</v>
      </c>
      <c r="F43" s="62">
        <v>2</v>
      </c>
      <c r="G43" s="62">
        <v>5</v>
      </c>
      <c r="H43" s="62">
        <v>5</v>
      </c>
      <c r="I43" s="62">
        <v>5</v>
      </c>
      <c r="J43" s="62">
        <v>2</v>
      </c>
      <c r="K43" s="41">
        <f t="shared" si="1"/>
        <v>6</v>
      </c>
      <c r="L43" s="41">
        <f t="shared" si="2"/>
        <v>4</v>
      </c>
      <c r="M43" s="41">
        <f t="shared" si="3"/>
        <v>10</v>
      </c>
      <c r="N43" s="41">
        <f t="shared" si="4"/>
        <v>10</v>
      </c>
      <c r="O43" s="41">
        <f t="shared" si="5"/>
        <v>10</v>
      </c>
      <c r="P43" s="41">
        <f t="shared" si="6"/>
        <v>4</v>
      </c>
    </row>
    <row r="44" spans="1:17" ht="36.9">
      <c r="A44" s="39">
        <f t="shared" si="8"/>
        <v>38</v>
      </c>
      <c r="B44" s="38" t="s">
        <v>195</v>
      </c>
      <c r="C44" s="38" t="s">
        <v>196</v>
      </c>
      <c r="D44" s="39">
        <v>2</v>
      </c>
      <c r="E44" s="62">
        <v>3</v>
      </c>
      <c r="F44" s="62">
        <v>3</v>
      </c>
      <c r="G44" s="62">
        <v>4</v>
      </c>
      <c r="H44" s="62">
        <v>4</v>
      </c>
      <c r="I44" s="62">
        <v>4</v>
      </c>
      <c r="J44" s="62">
        <v>3</v>
      </c>
      <c r="K44" s="41">
        <f t="shared" si="1"/>
        <v>6</v>
      </c>
      <c r="L44" s="41">
        <f t="shared" si="2"/>
        <v>6</v>
      </c>
      <c r="M44" s="41">
        <f t="shared" si="3"/>
        <v>8</v>
      </c>
      <c r="N44" s="41">
        <f t="shared" si="4"/>
        <v>8</v>
      </c>
      <c r="O44" s="41">
        <f t="shared" si="5"/>
        <v>8</v>
      </c>
      <c r="P44" s="41">
        <f t="shared" si="6"/>
        <v>6</v>
      </c>
    </row>
    <row r="45" spans="1:17" ht="38.1" customHeight="1">
      <c r="A45" s="39">
        <f t="shared" si="8"/>
        <v>39</v>
      </c>
      <c r="B45" s="38" t="s">
        <v>197</v>
      </c>
      <c r="C45" s="38"/>
      <c r="D45" s="39">
        <v>2</v>
      </c>
      <c r="E45" s="62">
        <v>3</v>
      </c>
      <c r="F45" s="62">
        <v>3</v>
      </c>
      <c r="G45" s="62">
        <v>4</v>
      </c>
      <c r="H45" s="62">
        <v>5</v>
      </c>
      <c r="I45" s="62">
        <v>5</v>
      </c>
      <c r="J45" s="62">
        <v>3</v>
      </c>
      <c r="K45" s="41">
        <f t="shared" si="1"/>
        <v>6</v>
      </c>
      <c r="L45" s="41">
        <f t="shared" si="2"/>
        <v>6</v>
      </c>
      <c r="M45" s="41">
        <f t="shared" si="3"/>
        <v>8</v>
      </c>
      <c r="N45" s="41">
        <f t="shared" si="4"/>
        <v>10</v>
      </c>
      <c r="O45" s="41">
        <f t="shared" si="5"/>
        <v>10</v>
      </c>
      <c r="P45" s="41">
        <f t="shared" si="6"/>
        <v>6</v>
      </c>
      <c r="Q45" s="8" t="s">
        <v>199</v>
      </c>
    </row>
    <row r="46" spans="1:17" ht="38.1" customHeight="1">
      <c r="A46" s="31">
        <f t="shared" si="8"/>
        <v>40</v>
      </c>
      <c r="B46" s="38" t="s">
        <v>63</v>
      </c>
      <c r="C46" s="38"/>
      <c r="D46" s="31">
        <v>2</v>
      </c>
      <c r="E46" s="62">
        <v>3</v>
      </c>
      <c r="F46" s="62">
        <v>3</v>
      </c>
      <c r="G46" s="62">
        <v>4</v>
      </c>
      <c r="H46" s="62">
        <v>5</v>
      </c>
      <c r="I46" s="62">
        <v>5</v>
      </c>
      <c r="J46" s="62">
        <v>3</v>
      </c>
      <c r="K46" s="41">
        <f t="shared" si="1"/>
        <v>6</v>
      </c>
      <c r="L46" s="41">
        <f t="shared" si="2"/>
        <v>6</v>
      </c>
      <c r="M46" s="41">
        <f t="shared" si="3"/>
        <v>8</v>
      </c>
      <c r="N46" s="41">
        <f t="shared" si="4"/>
        <v>10</v>
      </c>
      <c r="O46" s="41">
        <f t="shared" si="5"/>
        <v>10</v>
      </c>
      <c r="P46" s="41">
        <f t="shared" si="6"/>
        <v>6</v>
      </c>
      <c r="Q46" s="8" t="s">
        <v>199</v>
      </c>
    </row>
    <row r="47" spans="1:17" ht="38.1" customHeight="1">
      <c r="A47" s="39">
        <f t="shared" si="8"/>
        <v>41</v>
      </c>
      <c r="B47" s="38" t="s">
        <v>64</v>
      </c>
      <c r="C47" s="38"/>
      <c r="D47" s="39">
        <v>2</v>
      </c>
      <c r="E47" s="62">
        <v>3</v>
      </c>
      <c r="F47" s="62">
        <v>3</v>
      </c>
      <c r="G47" s="62">
        <v>4</v>
      </c>
      <c r="H47" s="62">
        <v>5</v>
      </c>
      <c r="I47" s="62">
        <v>5</v>
      </c>
      <c r="J47" s="62">
        <v>3</v>
      </c>
      <c r="K47" s="41">
        <f t="shared" si="1"/>
        <v>6</v>
      </c>
      <c r="L47" s="41">
        <f t="shared" si="2"/>
        <v>6</v>
      </c>
      <c r="M47" s="41">
        <f t="shared" si="3"/>
        <v>8</v>
      </c>
      <c r="N47" s="41">
        <f t="shared" si="4"/>
        <v>10</v>
      </c>
      <c r="O47" s="41">
        <f t="shared" si="5"/>
        <v>10</v>
      </c>
      <c r="P47" s="41">
        <f t="shared" si="6"/>
        <v>6</v>
      </c>
      <c r="Q47" s="8" t="s">
        <v>199</v>
      </c>
    </row>
    <row r="48" spans="1:17" ht="38.1" customHeight="1">
      <c r="A48" s="55">
        <f t="shared" si="8"/>
        <v>42</v>
      </c>
      <c r="B48" s="56" t="s">
        <v>65</v>
      </c>
      <c r="C48" s="56"/>
      <c r="D48" s="55">
        <v>2</v>
      </c>
      <c r="E48" s="63">
        <v>4</v>
      </c>
      <c r="F48" s="63">
        <v>3</v>
      </c>
      <c r="G48" s="63">
        <v>5</v>
      </c>
      <c r="H48" s="63">
        <v>5</v>
      </c>
      <c r="I48" s="63">
        <v>5</v>
      </c>
      <c r="J48" s="63">
        <v>3</v>
      </c>
      <c r="K48" s="55">
        <f t="shared" si="1"/>
        <v>8</v>
      </c>
      <c r="L48" s="55">
        <f t="shared" si="2"/>
        <v>6</v>
      </c>
      <c r="M48" s="55">
        <f t="shared" si="3"/>
        <v>10</v>
      </c>
      <c r="N48" s="55">
        <f t="shared" si="4"/>
        <v>10</v>
      </c>
      <c r="O48" s="55">
        <f t="shared" si="5"/>
        <v>10</v>
      </c>
      <c r="P48" s="55">
        <f t="shared" si="6"/>
        <v>6</v>
      </c>
      <c r="Q48" s="8" t="s">
        <v>199</v>
      </c>
    </row>
    <row r="49" spans="1:17" ht="38.1" customHeight="1">
      <c r="A49" s="39">
        <f t="shared" si="8"/>
        <v>43</v>
      </c>
      <c r="B49" s="38" t="s">
        <v>66</v>
      </c>
      <c r="C49" s="38"/>
      <c r="D49" s="39">
        <v>2</v>
      </c>
      <c r="E49" s="62">
        <v>0</v>
      </c>
      <c r="F49" s="62">
        <v>0</v>
      </c>
      <c r="G49" s="62">
        <v>3</v>
      </c>
      <c r="H49" s="62">
        <v>5</v>
      </c>
      <c r="I49" s="62">
        <v>3</v>
      </c>
      <c r="J49" s="62">
        <v>0</v>
      </c>
      <c r="K49" s="41">
        <f t="shared" si="1"/>
        <v>0</v>
      </c>
      <c r="L49" s="41">
        <f t="shared" si="2"/>
        <v>0</v>
      </c>
      <c r="M49" s="41">
        <f t="shared" si="3"/>
        <v>6</v>
      </c>
      <c r="N49" s="41">
        <f t="shared" si="4"/>
        <v>10</v>
      </c>
      <c r="O49" s="41">
        <f t="shared" si="5"/>
        <v>6</v>
      </c>
      <c r="P49" s="41">
        <f t="shared" si="6"/>
        <v>0</v>
      </c>
      <c r="Q49" s="8" t="s">
        <v>199</v>
      </c>
    </row>
    <row r="50" spans="1:17" ht="38.1" customHeight="1">
      <c r="A50" s="39">
        <f t="shared" si="8"/>
        <v>44</v>
      </c>
      <c r="B50" s="38" t="s">
        <v>67</v>
      </c>
      <c r="C50" s="38"/>
      <c r="D50" s="39">
        <v>2</v>
      </c>
      <c r="E50" s="62">
        <v>0</v>
      </c>
      <c r="F50" s="62">
        <v>0</v>
      </c>
      <c r="G50" s="62">
        <v>5</v>
      </c>
      <c r="H50" s="62">
        <v>5</v>
      </c>
      <c r="I50" s="62">
        <v>5</v>
      </c>
      <c r="J50" s="62">
        <v>0</v>
      </c>
      <c r="K50" s="41">
        <f t="shared" si="1"/>
        <v>0</v>
      </c>
      <c r="L50" s="41">
        <f t="shared" si="2"/>
        <v>0</v>
      </c>
      <c r="M50" s="41">
        <f t="shared" si="3"/>
        <v>10</v>
      </c>
      <c r="N50" s="41">
        <f t="shared" si="4"/>
        <v>10</v>
      </c>
      <c r="O50" s="41">
        <f t="shared" si="5"/>
        <v>10</v>
      </c>
      <c r="P50" s="41">
        <f t="shared" si="6"/>
        <v>0</v>
      </c>
      <c r="Q50" s="8" t="s">
        <v>199</v>
      </c>
    </row>
    <row r="51" spans="1:17" ht="38.1" customHeight="1">
      <c r="A51" s="39">
        <f t="shared" si="8"/>
        <v>45</v>
      </c>
      <c r="B51" s="38" t="s">
        <v>259</v>
      </c>
      <c r="C51" s="38" t="s">
        <v>326</v>
      </c>
      <c r="D51" s="39">
        <v>2</v>
      </c>
      <c r="E51" s="62">
        <v>0</v>
      </c>
      <c r="F51" s="62">
        <v>0</v>
      </c>
      <c r="G51" s="62">
        <v>5</v>
      </c>
      <c r="H51" s="62">
        <v>5</v>
      </c>
      <c r="I51" s="62">
        <v>5</v>
      </c>
      <c r="J51" s="62">
        <v>0</v>
      </c>
      <c r="K51" s="41">
        <f t="shared" si="1"/>
        <v>0</v>
      </c>
      <c r="L51" s="41">
        <f t="shared" si="2"/>
        <v>0</v>
      </c>
      <c r="M51" s="41">
        <f t="shared" si="3"/>
        <v>10</v>
      </c>
      <c r="N51" s="41">
        <f t="shared" si="4"/>
        <v>10</v>
      </c>
      <c r="O51" s="41">
        <f t="shared" si="5"/>
        <v>10</v>
      </c>
      <c r="P51" s="41">
        <f t="shared" si="6"/>
        <v>0</v>
      </c>
      <c r="Q51" s="8" t="s">
        <v>199</v>
      </c>
    </row>
    <row r="52" spans="1:17" ht="39.75" customHeight="1">
      <c r="A52" s="39">
        <f t="shared" si="8"/>
        <v>46</v>
      </c>
      <c r="B52" s="38" t="s">
        <v>68</v>
      </c>
      <c r="C52" s="38"/>
      <c r="D52" s="39">
        <v>2</v>
      </c>
      <c r="E52" s="62">
        <v>0</v>
      </c>
      <c r="F52" s="62">
        <v>0</v>
      </c>
      <c r="G52" s="62">
        <v>0</v>
      </c>
      <c r="H52" s="62">
        <v>5</v>
      </c>
      <c r="I52" s="62">
        <v>5</v>
      </c>
      <c r="J52" s="62">
        <v>0</v>
      </c>
      <c r="K52" s="41">
        <f t="shared" si="1"/>
        <v>0</v>
      </c>
      <c r="L52" s="41">
        <f t="shared" si="2"/>
        <v>0</v>
      </c>
      <c r="M52" s="41">
        <f t="shared" si="3"/>
        <v>0</v>
      </c>
      <c r="N52" s="41">
        <f t="shared" si="4"/>
        <v>10</v>
      </c>
      <c r="O52" s="41">
        <f t="shared" si="5"/>
        <v>10</v>
      </c>
      <c r="P52" s="41">
        <f t="shared" si="6"/>
        <v>0</v>
      </c>
      <c r="Q52" s="8" t="s">
        <v>199</v>
      </c>
    </row>
    <row r="53" spans="1:17" ht="38.1" customHeight="1">
      <c r="A53" s="55">
        <f t="shared" si="8"/>
        <v>47</v>
      </c>
      <c r="B53" s="56" t="s">
        <v>69</v>
      </c>
      <c r="C53" s="56"/>
      <c r="D53" s="55">
        <v>2</v>
      </c>
      <c r="E53" s="63">
        <v>5</v>
      </c>
      <c r="F53" s="63">
        <v>4</v>
      </c>
      <c r="G53" s="63">
        <v>4</v>
      </c>
      <c r="H53" s="63">
        <v>4</v>
      </c>
      <c r="I53" s="63">
        <v>4</v>
      </c>
      <c r="J53" s="63">
        <v>0</v>
      </c>
      <c r="K53" s="55">
        <f t="shared" si="1"/>
        <v>10</v>
      </c>
      <c r="L53" s="55">
        <f t="shared" si="2"/>
        <v>8</v>
      </c>
      <c r="M53" s="55">
        <f t="shared" si="3"/>
        <v>8</v>
      </c>
      <c r="N53" s="55">
        <f t="shared" si="4"/>
        <v>8</v>
      </c>
      <c r="O53" s="55">
        <f t="shared" si="5"/>
        <v>8</v>
      </c>
      <c r="P53" s="55">
        <f t="shared" si="6"/>
        <v>0</v>
      </c>
    </row>
    <row r="54" spans="1:17" ht="38.1" customHeight="1">
      <c r="A54" s="55">
        <f t="shared" si="8"/>
        <v>48</v>
      </c>
      <c r="B54" s="56" t="s">
        <v>70</v>
      </c>
      <c r="C54" s="56" t="s">
        <v>302</v>
      </c>
      <c r="D54" s="55">
        <v>2</v>
      </c>
      <c r="E54" s="63">
        <v>3</v>
      </c>
      <c r="F54" s="63">
        <v>3</v>
      </c>
      <c r="G54" s="63">
        <v>5</v>
      </c>
      <c r="H54" s="63">
        <v>5</v>
      </c>
      <c r="I54" s="63">
        <v>5</v>
      </c>
      <c r="J54" s="63">
        <v>3</v>
      </c>
      <c r="K54" s="55">
        <f t="shared" si="1"/>
        <v>6</v>
      </c>
      <c r="L54" s="55">
        <f t="shared" si="2"/>
        <v>6</v>
      </c>
      <c r="M54" s="55">
        <f t="shared" si="3"/>
        <v>10</v>
      </c>
      <c r="N54" s="55">
        <f t="shared" si="4"/>
        <v>10</v>
      </c>
      <c r="O54" s="55">
        <f t="shared" si="5"/>
        <v>10</v>
      </c>
      <c r="P54" s="55">
        <f t="shared" si="6"/>
        <v>6</v>
      </c>
    </row>
    <row r="55" spans="1:17" ht="38.1" customHeight="1">
      <c r="A55" s="55">
        <f t="shared" si="8"/>
        <v>49</v>
      </c>
      <c r="B55" s="56" t="s">
        <v>198</v>
      </c>
      <c r="C55" s="56"/>
      <c r="D55" s="55">
        <v>2</v>
      </c>
      <c r="E55" s="63">
        <v>5</v>
      </c>
      <c r="F55" s="63">
        <v>0</v>
      </c>
      <c r="G55" s="63">
        <v>3</v>
      </c>
      <c r="H55" s="63">
        <v>3</v>
      </c>
      <c r="I55" s="63">
        <v>3</v>
      </c>
      <c r="J55" s="63">
        <v>0</v>
      </c>
      <c r="K55" s="55">
        <f t="shared" si="1"/>
        <v>10</v>
      </c>
      <c r="L55" s="55">
        <f t="shared" si="2"/>
        <v>0</v>
      </c>
      <c r="M55" s="55">
        <f t="shared" si="3"/>
        <v>6</v>
      </c>
      <c r="N55" s="55">
        <f t="shared" si="4"/>
        <v>6</v>
      </c>
      <c r="O55" s="55">
        <f t="shared" si="5"/>
        <v>6</v>
      </c>
      <c r="P55" s="55">
        <f t="shared" si="6"/>
        <v>0</v>
      </c>
    </row>
    <row r="56" spans="1:17" ht="38.1" customHeight="1">
      <c r="A56" s="55">
        <f t="shared" si="8"/>
        <v>50</v>
      </c>
      <c r="B56" s="56" t="s">
        <v>260</v>
      </c>
      <c r="C56" s="56"/>
      <c r="D56" s="55">
        <v>3</v>
      </c>
      <c r="E56" s="63">
        <v>3</v>
      </c>
      <c r="F56" s="63">
        <v>5</v>
      </c>
      <c r="G56" s="63">
        <v>3</v>
      </c>
      <c r="H56" s="63">
        <v>3</v>
      </c>
      <c r="I56" s="63">
        <v>3</v>
      </c>
      <c r="J56" s="63">
        <v>5</v>
      </c>
      <c r="K56" s="55">
        <f t="shared" si="1"/>
        <v>9</v>
      </c>
      <c r="L56" s="55">
        <f t="shared" si="2"/>
        <v>15</v>
      </c>
      <c r="M56" s="55">
        <f t="shared" si="3"/>
        <v>9</v>
      </c>
      <c r="N56" s="55">
        <f t="shared" si="4"/>
        <v>9</v>
      </c>
      <c r="O56" s="55">
        <f t="shared" si="5"/>
        <v>9</v>
      </c>
      <c r="P56" s="55">
        <f t="shared" si="6"/>
        <v>15</v>
      </c>
      <c r="Q56" s="8" t="s">
        <v>199</v>
      </c>
    </row>
    <row r="57" spans="1:17" ht="38.1" customHeight="1">
      <c r="A57" s="55">
        <f t="shared" si="8"/>
        <v>51</v>
      </c>
      <c r="B57" s="56" t="s">
        <v>71</v>
      </c>
      <c r="C57" s="56"/>
      <c r="D57" s="55">
        <v>2</v>
      </c>
      <c r="E57" s="63">
        <v>3</v>
      </c>
      <c r="F57" s="63">
        <v>3</v>
      </c>
      <c r="G57" s="63">
        <v>3</v>
      </c>
      <c r="H57" s="63">
        <v>3</v>
      </c>
      <c r="I57" s="63">
        <v>3</v>
      </c>
      <c r="J57" s="63">
        <v>3</v>
      </c>
      <c r="K57" s="55">
        <f t="shared" si="1"/>
        <v>6</v>
      </c>
      <c r="L57" s="55">
        <f t="shared" si="2"/>
        <v>6</v>
      </c>
      <c r="M57" s="55">
        <f t="shared" si="3"/>
        <v>6</v>
      </c>
      <c r="N57" s="55">
        <f t="shared" si="4"/>
        <v>6</v>
      </c>
      <c r="O57" s="55">
        <f t="shared" si="5"/>
        <v>6</v>
      </c>
      <c r="P57" s="55">
        <f t="shared" si="6"/>
        <v>6</v>
      </c>
      <c r="Q57" s="8" t="s">
        <v>199</v>
      </c>
    </row>
    <row r="58" spans="1:17" ht="49.2">
      <c r="A58" s="55">
        <f t="shared" si="8"/>
        <v>52</v>
      </c>
      <c r="B58" s="56" t="s">
        <v>316</v>
      </c>
      <c r="C58" s="56" t="s">
        <v>317</v>
      </c>
      <c r="D58" s="55">
        <v>2</v>
      </c>
      <c r="E58" s="63">
        <v>5</v>
      </c>
      <c r="F58" s="63">
        <v>3</v>
      </c>
      <c r="G58" s="63">
        <v>5</v>
      </c>
      <c r="H58" s="63">
        <v>5</v>
      </c>
      <c r="I58" s="63">
        <v>5</v>
      </c>
      <c r="J58" s="63">
        <v>2</v>
      </c>
      <c r="K58" s="55">
        <f t="shared" ref="K58" si="9">PRODUCT(D58,E58)</f>
        <v>10</v>
      </c>
      <c r="L58" s="55">
        <f t="shared" ref="L58" si="10">PRODUCT(D58,F58)</f>
        <v>6</v>
      </c>
      <c r="M58" s="55">
        <f t="shared" ref="M58" si="11">PRODUCT(D58,G58)</f>
        <v>10</v>
      </c>
      <c r="N58" s="55">
        <f t="shared" ref="N58" si="12">PRODUCT(D58,H58)</f>
        <v>10</v>
      </c>
      <c r="O58" s="55">
        <f t="shared" ref="O58" si="13">PRODUCT(D58,I58)</f>
        <v>10</v>
      </c>
      <c r="P58" s="55">
        <f t="shared" ref="P58" si="14">PRODUCT(D58,J58)</f>
        <v>4</v>
      </c>
      <c r="Q58" s="8" t="s">
        <v>199</v>
      </c>
    </row>
    <row r="59" spans="1:17" ht="36.9">
      <c r="A59" s="55">
        <f t="shared" si="8"/>
        <v>53</v>
      </c>
      <c r="B59" s="56" t="s">
        <v>318</v>
      </c>
      <c r="C59" s="56" t="s">
        <v>319</v>
      </c>
      <c r="D59" s="55">
        <v>2</v>
      </c>
      <c r="E59" s="63">
        <v>0</v>
      </c>
      <c r="F59" s="63">
        <v>0</v>
      </c>
      <c r="G59" s="63">
        <v>1</v>
      </c>
      <c r="H59" s="63">
        <v>0</v>
      </c>
      <c r="I59" s="63">
        <v>1</v>
      </c>
      <c r="J59" s="63">
        <v>0</v>
      </c>
      <c r="K59" s="55">
        <f t="shared" ref="K59" si="15">PRODUCT(D59,E59)</f>
        <v>0</v>
      </c>
      <c r="L59" s="55">
        <f t="shared" ref="L59" si="16">PRODUCT(D59,F59)</f>
        <v>0</v>
      </c>
      <c r="M59" s="55">
        <f t="shared" ref="M59" si="17">PRODUCT(D59,G59)</f>
        <v>2</v>
      </c>
      <c r="N59" s="55">
        <f t="shared" ref="N59" si="18">PRODUCT(D59,H59)</f>
        <v>0</v>
      </c>
      <c r="O59" s="55">
        <f t="shared" ref="O59" si="19">PRODUCT(D59,I59)</f>
        <v>2</v>
      </c>
      <c r="P59" s="55">
        <f t="shared" ref="P59" si="20">PRODUCT(D59,J59)</f>
        <v>0</v>
      </c>
      <c r="Q59" s="8" t="s">
        <v>199</v>
      </c>
    </row>
    <row r="61" spans="1:17">
      <c r="D61" s="49" t="s">
        <v>10</v>
      </c>
      <c r="K61" s="49" t="s">
        <v>11</v>
      </c>
      <c r="L61" s="49" t="s">
        <v>11</v>
      </c>
      <c r="M61" s="49" t="s">
        <v>11</v>
      </c>
      <c r="N61" s="49" t="s">
        <v>11</v>
      </c>
      <c r="O61" s="49" t="s">
        <v>11</v>
      </c>
      <c r="P61" s="49" t="s">
        <v>11</v>
      </c>
    </row>
    <row r="62" spans="1:17">
      <c r="D62" s="39">
        <f>SUM(D7:D59) *5</f>
        <v>555</v>
      </c>
      <c r="K62" s="39">
        <f t="shared" ref="K62:P62" si="21">SUM(K7:K60)</f>
        <v>401</v>
      </c>
      <c r="L62" s="39">
        <f t="shared" si="21"/>
        <v>357</v>
      </c>
      <c r="M62" s="39">
        <f t="shared" si="21"/>
        <v>470</v>
      </c>
      <c r="N62" s="39">
        <f t="shared" si="21"/>
        <v>484</v>
      </c>
      <c r="O62" s="39">
        <f t="shared" si="21"/>
        <v>486</v>
      </c>
      <c r="P62" s="39">
        <f t="shared" si="21"/>
        <v>343</v>
      </c>
    </row>
    <row r="64" spans="1:17">
      <c r="D64" s="49" t="s">
        <v>12</v>
      </c>
      <c r="K64" s="49" t="s">
        <v>12</v>
      </c>
      <c r="L64" s="49" t="s">
        <v>12</v>
      </c>
      <c r="M64" s="49" t="s">
        <v>12</v>
      </c>
      <c r="N64" s="49" t="s">
        <v>12</v>
      </c>
      <c r="O64" s="49" t="s">
        <v>12</v>
      </c>
      <c r="P64" s="49" t="s">
        <v>12</v>
      </c>
    </row>
    <row r="65" spans="4:16">
      <c r="D65" s="39">
        <f>PRODUCT(D62,1/G2)</f>
        <v>10.471698113207546</v>
      </c>
      <c r="K65" s="39">
        <f>PRODUCT(K62,1/G2)</f>
        <v>7.566037735849056</v>
      </c>
      <c r="L65" s="39">
        <f>PRODUCT(L62,1/G2)</f>
        <v>6.7358490566037732</v>
      </c>
      <c r="M65" s="39">
        <f>PRODUCT(M62,1/G2)</f>
        <v>8.8679245283018862</v>
      </c>
      <c r="N65" s="39">
        <f>PRODUCT(N62,1/G2)</f>
        <v>9.1320754716981121</v>
      </c>
      <c r="O65" s="39">
        <f>PRODUCT(O62,1/G2)</f>
        <v>9.1698113207547163</v>
      </c>
      <c r="P65" s="39">
        <f>PRODUCT(P62,1/G2)</f>
        <v>6.4716981132075473</v>
      </c>
    </row>
  </sheetData>
  <phoneticPr fontId="4" type="noConversion"/>
  <pageMargins left="0.78740157499999996" right="0.78740157499999996" top="0.984251969" bottom="0.984251969" header="0.4921259845" footer="0.4921259845"/>
  <pageSetup paperSize="9" scale="4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45720</xdr:colOff>
                    <xdr:row>2</xdr:row>
                    <xdr:rowOff>60960</xdr:rowOff>
                  </from>
                  <to>
                    <xdr:col>6</xdr:col>
                    <xdr:colOff>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42"/>
  <sheetViews>
    <sheetView showGridLines="0" topLeftCell="C1" zoomScale="115" zoomScaleNormal="115" workbookViewId="0">
      <pane ySplit="6" topLeftCell="A34" activePane="bottomLeft" state="frozen"/>
      <selection pane="bottomLeft" activeCell="A6" sqref="A6:J36"/>
    </sheetView>
  </sheetViews>
  <sheetFormatPr baseColWidth="10" defaultRowHeight="12.3"/>
  <cols>
    <col min="1" max="1" width="3.5546875" customWidth="1"/>
    <col min="2" max="2" width="46.6640625" customWidth="1"/>
    <col min="3" max="3" width="46.33203125" customWidth="1"/>
    <col min="4" max="4" width="17" style="1" customWidth="1"/>
    <col min="5" max="16" width="9" style="1" customWidth="1"/>
  </cols>
  <sheetData>
    <row r="1" spans="1:17" ht="18" customHeight="1">
      <c r="A1" s="42"/>
      <c r="B1" s="43" t="s">
        <v>14</v>
      </c>
      <c r="C1" s="8"/>
      <c r="D1" s="9" t="s">
        <v>4</v>
      </c>
      <c r="E1" s="10" t="s">
        <v>5</v>
      </c>
      <c r="F1" s="11"/>
      <c r="G1" s="11" t="s">
        <v>6</v>
      </c>
      <c r="H1" s="11"/>
      <c r="I1" s="11"/>
      <c r="J1" s="11"/>
      <c r="K1" s="11"/>
      <c r="L1" s="11"/>
      <c r="M1" s="11"/>
      <c r="N1" s="11"/>
      <c r="O1" s="11"/>
      <c r="P1" s="11"/>
    </row>
    <row r="2" spans="1:17" ht="11.1" customHeight="1">
      <c r="A2" s="8"/>
      <c r="B2" s="8"/>
      <c r="C2" s="8"/>
      <c r="D2" s="12" t="s">
        <v>2</v>
      </c>
      <c r="E2" s="10"/>
      <c r="F2" s="11"/>
      <c r="G2" s="11">
        <v>30</v>
      </c>
      <c r="H2" s="11"/>
      <c r="I2" s="11"/>
      <c r="J2" s="11"/>
      <c r="K2" s="11"/>
      <c r="L2" s="11"/>
      <c r="M2" s="11"/>
      <c r="N2" s="11"/>
      <c r="O2" s="11"/>
      <c r="P2" s="11"/>
    </row>
    <row r="3" spans="1:17" ht="11.1" customHeight="1">
      <c r="A3" s="8"/>
      <c r="B3" s="8"/>
      <c r="C3" s="8"/>
      <c r="D3" s="12" t="s">
        <v>300</v>
      </c>
      <c r="E3" s="10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7" ht="11.1" customHeight="1">
      <c r="A4" s="8"/>
      <c r="B4" s="8"/>
      <c r="C4" s="8"/>
      <c r="D4" s="13" t="s">
        <v>3</v>
      </c>
      <c r="E4" s="10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7">
      <c r="A5" s="8"/>
      <c r="B5" s="8"/>
      <c r="C5" s="8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7" s="2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3" customFormat="1" ht="49.2">
      <c r="A7" s="32">
        <v>1</v>
      </c>
      <c r="B7" s="38" t="s">
        <v>200</v>
      </c>
      <c r="C7" s="38" t="s">
        <v>201</v>
      </c>
      <c r="D7" s="32">
        <v>1</v>
      </c>
      <c r="E7" s="65">
        <v>5</v>
      </c>
      <c r="F7" s="65">
        <v>5</v>
      </c>
      <c r="G7" s="65">
        <v>5</v>
      </c>
      <c r="H7" s="65">
        <v>5</v>
      </c>
      <c r="I7" s="65">
        <v>5</v>
      </c>
      <c r="J7" s="65">
        <v>5</v>
      </c>
      <c r="K7" s="41">
        <f>PRODUCT(D7,E7)</f>
        <v>5</v>
      </c>
      <c r="L7" s="41">
        <f>PRODUCT(D7,F7)</f>
        <v>5</v>
      </c>
      <c r="M7" s="41">
        <f>PRODUCT(D7,G7)</f>
        <v>5</v>
      </c>
      <c r="N7" s="41">
        <f>PRODUCT(D7,H7)</f>
        <v>5</v>
      </c>
      <c r="O7" s="41">
        <f>PRODUCT(D7,I7)</f>
        <v>5</v>
      </c>
      <c r="P7" s="41">
        <f>PRODUCT(D7,J7)</f>
        <v>5</v>
      </c>
      <c r="Q7" s="27" t="s">
        <v>199</v>
      </c>
    </row>
    <row r="8" spans="1:17" s="3" customFormat="1" ht="36.9">
      <c r="A8" s="32">
        <f t="shared" ref="A8:A18" si="0">SUM(A7,1)</f>
        <v>2</v>
      </c>
      <c r="B8" s="38" t="s">
        <v>202</v>
      </c>
      <c r="C8" s="38" t="s">
        <v>72</v>
      </c>
      <c r="D8" s="32">
        <v>3</v>
      </c>
      <c r="E8" s="65">
        <v>3</v>
      </c>
      <c r="F8" s="65">
        <v>5</v>
      </c>
      <c r="G8" s="65">
        <v>4</v>
      </c>
      <c r="H8" s="65">
        <v>5</v>
      </c>
      <c r="I8" s="65">
        <v>3</v>
      </c>
      <c r="J8" s="65">
        <v>2</v>
      </c>
      <c r="K8" s="41">
        <f t="shared" ref="K8:K32" si="1">PRODUCT(D8,E8)</f>
        <v>9</v>
      </c>
      <c r="L8" s="41">
        <f t="shared" ref="L8:L32" si="2">PRODUCT(D8,F8)</f>
        <v>15</v>
      </c>
      <c r="M8" s="41">
        <f t="shared" ref="M8:M32" si="3">PRODUCT(D8,G8)</f>
        <v>12</v>
      </c>
      <c r="N8" s="41">
        <f t="shared" ref="N8:N32" si="4">PRODUCT(D8,H8)</f>
        <v>15</v>
      </c>
      <c r="O8" s="41">
        <f t="shared" ref="O8:O32" si="5">PRODUCT(D8,I8)</f>
        <v>9</v>
      </c>
      <c r="P8" s="41">
        <f t="shared" ref="P8:P32" si="6">PRODUCT(D8,J8)</f>
        <v>6</v>
      </c>
    </row>
    <row r="9" spans="1:17" s="3" customFormat="1" ht="38.1" customHeight="1">
      <c r="A9" s="32">
        <f>SUM(A8,1)</f>
        <v>3</v>
      </c>
      <c r="B9" s="38" t="s">
        <v>203</v>
      </c>
      <c r="C9" s="38" t="s">
        <v>73</v>
      </c>
      <c r="D9" s="32">
        <v>3</v>
      </c>
      <c r="E9" s="65">
        <v>3</v>
      </c>
      <c r="F9" s="65">
        <v>3</v>
      </c>
      <c r="G9" s="65">
        <v>5</v>
      </c>
      <c r="H9" s="65">
        <v>5</v>
      </c>
      <c r="I9" s="65">
        <v>3</v>
      </c>
      <c r="J9" s="65">
        <v>3</v>
      </c>
      <c r="K9" s="41">
        <f t="shared" si="1"/>
        <v>9</v>
      </c>
      <c r="L9" s="41">
        <f t="shared" si="2"/>
        <v>9</v>
      </c>
      <c r="M9" s="41">
        <f t="shared" si="3"/>
        <v>15</v>
      </c>
      <c r="N9" s="41">
        <f t="shared" si="4"/>
        <v>15</v>
      </c>
      <c r="O9" s="41">
        <f t="shared" si="5"/>
        <v>9</v>
      </c>
      <c r="P9" s="41">
        <f t="shared" si="6"/>
        <v>9</v>
      </c>
    </row>
    <row r="10" spans="1:17" s="3" customFormat="1" ht="38.1" customHeight="1">
      <c r="A10" s="32">
        <f t="shared" si="0"/>
        <v>4</v>
      </c>
      <c r="B10" s="38" t="s">
        <v>204</v>
      </c>
      <c r="C10" s="38" t="s">
        <v>74</v>
      </c>
      <c r="D10" s="32">
        <v>1</v>
      </c>
      <c r="E10" s="65">
        <v>0</v>
      </c>
      <c r="F10" s="65">
        <v>0</v>
      </c>
      <c r="G10" s="65">
        <v>5</v>
      </c>
      <c r="H10" s="65">
        <v>5</v>
      </c>
      <c r="I10" s="65">
        <v>3</v>
      </c>
      <c r="J10" s="65">
        <v>0</v>
      </c>
      <c r="K10" s="41">
        <f t="shared" si="1"/>
        <v>0</v>
      </c>
      <c r="L10" s="41">
        <f t="shared" si="2"/>
        <v>0</v>
      </c>
      <c r="M10" s="41">
        <f t="shared" si="3"/>
        <v>5</v>
      </c>
      <c r="N10" s="41">
        <f t="shared" si="4"/>
        <v>5</v>
      </c>
      <c r="O10" s="41">
        <f t="shared" si="5"/>
        <v>3</v>
      </c>
      <c r="P10" s="41">
        <f t="shared" si="6"/>
        <v>0</v>
      </c>
    </row>
    <row r="11" spans="1:17" s="59" customFormat="1" ht="24.6">
      <c r="A11" s="60">
        <f t="shared" si="0"/>
        <v>5</v>
      </c>
      <c r="B11" s="38" t="s">
        <v>205</v>
      </c>
      <c r="C11" s="38" t="s">
        <v>307</v>
      </c>
      <c r="D11" s="39">
        <v>2</v>
      </c>
      <c r="E11" s="65">
        <v>3</v>
      </c>
      <c r="F11" s="65">
        <v>3</v>
      </c>
      <c r="G11" s="65">
        <v>5</v>
      </c>
      <c r="H11" s="65">
        <v>3</v>
      </c>
      <c r="I11" s="65">
        <v>3</v>
      </c>
      <c r="J11" s="65">
        <v>3</v>
      </c>
      <c r="K11" s="41">
        <f t="shared" ref="K11" si="7">PRODUCT(D11,E11)</f>
        <v>6</v>
      </c>
      <c r="L11" s="41">
        <f t="shared" ref="L11" si="8">PRODUCT(D11,F11)</f>
        <v>6</v>
      </c>
      <c r="M11" s="41">
        <f t="shared" ref="M11" si="9">PRODUCT(D11,G11)</f>
        <v>10</v>
      </c>
      <c r="N11" s="41">
        <f t="shared" ref="N11" si="10">PRODUCT(D11,H11)</f>
        <v>6</v>
      </c>
      <c r="O11" s="41">
        <f t="shared" ref="O11" si="11">PRODUCT(D11,I11)</f>
        <v>6</v>
      </c>
      <c r="P11" s="41">
        <f t="shared" ref="P11" si="12">PRODUCT(D11,J11)</f>
        <v>6</v>
      </c>
      <c r="Q11" s="59" t="s">
        <v>199</v>
      </c>
    </row>
    <row r="12" spans="1:17" s="3" customFormat="1" ht="38.1" customHeight="1">
      <c r="A12" s="39">
        <f t="shared" si="0"/>
        <v>6</v>
      </c>
      <c r="B12" s="38" t="s">
        <v>306</v>
      </c>
      <c r="C12" s="38" t="s">
        <v>304</v>
      </c>
      <c r="D12" s="39">
        <v>3</v>
      </c>
      <c r="E12" s="65">
        <v>4</v>
      </c>
      <c r="F12" s="65">
        <v>2</v>
      </c>
      <c r="G12" s="65">
        <v>5</v>
      </c>
      <c r="H12" s="65">
        <v>3</v>
      </c>
      <c r="I12" s="65">
        <v>3</v>
      </c>
      <c r="J12" s="65">
        <v>2</v>
      </c>
      <c r="K12" s="41">
        <f t="shared" si="1"/>
        <v>12</v>
      </c>
      <c r="L12" s="41">
        <f t="shared" si="2"/>
        <v>6</v>
      </c>
      <c r="M12" s="41">
        <f t="shared" si="3"/>
        <v>15</v>
      </c>
      <c r="N12" s="41">
        <f t="shared" si="4"/>
        <v>9</v>
      </c>
      <c r="O12" s="41">
        <f t="shared" si="5"/>
        <v>9</v>
      </c>
      <c r="P12" s="41">
        <f t="shared" si="6"/>
        <v>6</v>
      </c>
      <c r="Q12" s="27" t="s">
        <v>199</v>
      </c>
    </row>
    <row r="13" spans="1:17" s="3" customFormat="1" ht="36" customHeight="1">
      <c r="A13" s="39">
        <f t="shared" si="0"/>
        <v>7</v>
      </c>
      <c r="B13" s="38" t="s">
        <v>308</v>
      </c>
      <c r="C13" s="38" t="s">
        <v>309</v>
      </c>
      <c r="D13" s="32">
        <v>1</v>
      </c>
      <c r="E13" s="65">
        <v>0</v>
      </c>
      <c r="F13" s="65">
        <v>0</v>
      </c>
      <c r="G13" s="65">
        <v>3</v>
      </c>
      <c r="H13" s="65">
        <v>2</v>
      </c>
      <c r="I13" s="65">
        <v>2</v>
      </c>
      <c r="J13" s="65">
        <v>0</v>
      </c>
      <c r="K13" s="41">
        <f t="shared" si="1"/>
        <v>0</v>
      </c>
      <c r="L13" s="41">
        <f t="shared" si="2"/>
        <v>0</v>
      </c>
      <c r="M13" s="41">
        <f t="shared" si="3"/>
        <v>3</v>
      </c>
      <c r="N13" s="41">
        <f t="shared" si="4"/>
        <v>2</v>
      </c>
      <c r="O13" s="41">
        <f t="shared" si="5"/>
        <v>2</v>
      </c>
      <c r="P13" s="41">
        <f t="shared" si="6"/>
        <v>0</v>
      </c>
    </row>
    <row r="14" spans="1:17" s="3" customFormat="1" ht="24" customHeight="1">
      <c r="A14" s="39">
        <f t="shared" si="0"/>
        <v>8</v>
      </c>
      <c r="B14" s="38" t="s">
        <v>206</v>
      </c>
      <c r="C14" s="38" t="s">
        <v>75</v>
      </c>
      <c r="D14" s="39">
        <v>1</v>
      </c>
      <c r="E14" s="65">
        <v>5</v>
      </c>
      <c r="F14" s="65">
        <v>5</v>
      </c>
      <c r="G14" s="65">
        <v>5</v>
      </c>
      <c r="H14" s="65">
        <v>5</v>
      </c>
      <c r="I14" s="65">
        <v>5</v>
      </c>
      <c r="J14" s="65">
        <v>5</v>
      </c>
      <c r="K14" s="41">
        <f t="shared" si="1"/>
        <v>5</v>
      </c>
      <c r="L14" s="41">
        <f t="shared" si="2"/>
        <v>5</v>
      </c>
      <c r="M14" s="41">
        <f t="shared" si="3"/>
        <v>5</v>
      </c>
      <c r="N14" s="41">
        <f t="shared" si="4"/>
        <v>5</v>
      </c>
      <c r="O14" s="41">
        <f t="shared" si="5"/>
        <v>5</v>
      </c>
      <c r="P14" s="41">
        <f t="shared" si="6"/>
        <v>5</v>
      </c>
    </row>
    <row r="15" spans="1:17" s="3" customFormat="1" ht="38.1" customHeight="1">
      <c r="A15" s="39">
        <f t="shared" si="0"/>
        <v>9</v>
      </c>
      <c r="B15" s="38" t="s">
        <v>207</v>
      </c>
      <c r="C15" s="38"/>
      <c r="D15" s="39">
        <v>2</v>
      </c>
      <c r="E15" s="65">
        <v>3</v>
      </c>
      <c r="F15" s="65">
        <v>5</v>
      </c>
      <c r="G15" s="65">
        <v>3</v>
      </c>
      <c r="H15" s="65">
        <v>3</v>
      </c>
      <c r="I15" s="65">
        <v>3</v>
      </c>
      <c r="J15" s="65">
        <v>5</v>
      </c>
      <c r="K15" s="41">
        <f t="shared" si="1"/>
        <v>6</v>
      </c>
      <c r="L15" s="41">
        <f t="shared" si="2"/>
        <v>10</v>
      </c>
      <c r="M15" s="41">
        <f t="shared" si="3"/>
        <v>6</v>
      </c>
      <c r="N15" s="41">
        <f t="shared" si="4"/>
        <v>6</v>
      </c>
      <c r="O15" s="41">
        <f t="shared" si="5"/>
        <v>6</v>
      </c>
      <c r="P15" s="41">
        <f t="shared" si="6"/>
        <v>10</v>
      </c>
      <c r="Q15" s="27" t="s">
        <v>199</v>
      </c>
    </row>
    <row r="16" spans="1:17" s="3" customFormat="1" ht="36.9">
      <c r="A16" s="32">
        <f t="shared" si="0"/>
        <v>10</v>
      </c>
      <c r="B16" s="38" t="s">
        <v>76</v>
      </c>
      <c r="C16" s="38" t="s">
        <v>314</v>
      </c>
      <c r="D16" s="39">
        <v>1</v>
      </c>
      <c r="E16" s="65">
        <v>5</v>
      </c>
      <c r="F16" s="65">
        <v>2</v>
      </c>
      <c r="G16" s="65">
        <v>5</v>
      </c>
      <c r="H16" s="65">
        <v>5</v>
      </c>
      <c r="I16" s="65">
        <v>5</v>
      </c>
      <c r="J16" s="65">
        <v>2</v>
      </c>
      <c r="K16" s="41">
        <f t="shared" si="1"/>
        <v>5</v>
      </c>
      <c r="L16" s="41">
        <f t="shared" si="2"/>
        <v>2</v>
      </c>
      <c r="M16" s="41">
        <f t="shared" si="3"/>
        <v>5</v>
      </c>
      <c r="N16" s="41">
        <f t="shared" si="4"/>
        <v>5</v>
      </c>
      <c r="O16" s="41">
        <f t="shared" si="5"/>
        <v>5</v>
      </c>
      <c r="P16" s="41">
        <f t="shared" si="6"/>
        <v>2</v>
      </c>
      <c r="Q16" s="27" t="s">
        <v>199</v>
      </c>
    </row>
    <row r="17" spans="1:17" s="3" customFormat="1" ht="36.9">
      <c r="A17" s="39">
        <f t="shared" si="0"/>
        <v>11</v>
      </c>
      <c r="B17" s="38" t="s">
        <v>208</v>
      </c>
      <c r="C17" s="38" t="s">
        <v>209</v>
      </c>
      <c r="D17" s="39">
        <v>1</v>
      </c>
      <c r="E17" s="65">
        <v>5</v>
      </c>
      <c r="F17" s="65">
        <v>2</v>
      </c>
      <c r="G17" s="65">
        <v>4</v>
      </c>
      <c r="H17" s="65">
        <v>4</v>
      </c>
      <c r="I17" s="65">
        <v>4</v>
      </c>
      <c r="J17" s="65">
        <v>0</v>
      </c>
      <c r="K17" s="41">
        <f t="shared" si="1"/>
        <v>5</v>
      </c>
      <c r="L17" s="41">
        <f t="shared" si="2"/>
        <v>2</v>
      </c>
      <c r="M17" s="41">
        <f t="shared" si="3"/>
        <v>4</v>
      </c>
      <c r="N17" s="41">
        <f t="shared" si="4"/>
        <v>4</v>
      </c>
      <c r="O17" s="41">
        <f t="shared" si="5"/>
        <v>4</v>
      </c>
      <c r="P17" s="41">
        <f t="shared" si="6"/>
        <v>0</v>
      </c>
    </row>
    <row r="18" spans="1:17" s="3" customFormat="1" ht="49.2">
      <c r="A18" s="32">
        <f t="shared" si="0"/>
        <v>12</v>
      </c>
      <c r="B18" s="38" t="s">
        <v>210</v>
      </c>
      <c r="C18" s="38" t="s">
        <v>211</v>
      </c>
      <c r="D18" s="39">
        <v>2</v>
      </c>
      <c r="E18" s="65">
        <v>2</v>
      </c>
      <c r="F18" s="65">
        <v>3</v>
      </c>
      <c r="G18" s="65">
        <v>5</v>
      </c>
      <c r="H18" s="65">
        <v>2</v>
      </c>
      <c r="I18" s="65">
        <v>4</v>
      </c>
      <c r="J18" s="65">
        <v>3</v>
      </c>
      <c r="K18" s="41">
        <f t="shared" si="1"/>
        <v>4</v>
      </c>
      <c r="L18" s="41">
        <f t="shared" si="2"/>
        <v>6</v>
      </c>
      <c r="M18" s="41">
        <f t="shared" si="3"/>
        <v>10</v>
      </c>
      <c r="N18" s="41">
        <f t="shared" si="4"/>
        <v>4</v>
      </c>
      <c r="O18" s="41">
        <f t="shared" si="5"/>
        <v>8</v>
      </c>
      <c r="P18" s="41">
        <f t="shared" si="6"/>
        <v>6</v>
      </c>
    </row>
    <row r="19" spans="1:17" s="3" customFormat="1" ht="38.1" customHeight="1">
      <c r="A19" s="32">
        <f t="shared" ref="A19:A36" si="13">SUM(A18,1)</f>
        <v>13</v>
      </c>
      <c r="B19" s="38" t="s">
        <v>212</v>
      </c>
      <c r="C19" s="38" t="s">
        <v>213</v>
      </c>
      <c r="D19" s="39">
        <v>3</v>
      </c>
      <c r="E19" s="65">
        <v>5</v>
      </c>
      <c r="F19" s="65">
        <v>2</v>
      </c>
      <c r="G19" s="65">
        <v>5</v>
      </c>
      <c r="H19" s="65">
        <v>5</v>
      </c>
      <c r="I19" s="65">
        <v>4</v>
      </c>
      <c r="J19" s="65">
        <v>2</v>
      </c>
      <c r="K19" s="41">
        <f t="shared" si="1"/>
        <v>15</v>
      </c>
      <c r="L19" s="41">
        <f t="shared" si="2"/>
        <v>6</v>
      </c>
      <c r="M19" s="41">
        <f t="shared" si="3"/>
        <v>15</v>
      </c>
      <c r="N19" s="41">
        <f t="shared" si="4"/>
        <v>15</v>
      </c>
      <c r="O19" s="41">
        <f t="shared" si="5"/>
        <v>12</v>
      </c>
      <c r="P19" s="41">
        <f t="shared" si="6"/>
        <v>6</v>
      </c>
      <c r="Q19" s="27" t="s">
        <v>199</v>
      </c>
    </row>
    <row r="20" spans="1:17" s="3" customFormat="1" ht="38.1" customHeight="1">
      <c r="A20" s="32">
        <f t="shared" si="13"/>
        <v>14</v>
      </c>
      <c r="B20" s="38" t="s">
        <v>214</v>
      </c>
      <c r="C20" s="38"/>
      <c r="D20" s="39">
        <v>3</v>
      </c>
      <c r="E20" s="65">
        <v>5</v>
      </c>
      <c r="F20" s="65">
        <v>0</v>
      </c>
      <c r="G20" s="65">
        <v>5</v>
      </c>
      <c r="H20" s="65">
        <v>5</v>
      </c>
      <c r="I20" s="65">
        <v>5</v>
      </c>
      <c r="J20" s="65">
        <v>0</v>
      </c>
      <c r="K20" s="41">
        <f t="shared" si="1"/>
        <v>15</v>
      </c>
      <c r="L20" s="41">
        <f t="shared" si="2"/>
        <v>0</v>
      </c>
      <c r="M20" s="41">
        <f t="shared" si="3"/>
        <v>15</v>
      </c>
      <c r="N20" s="41">
        <f t="shared" si="4"/>
        <v>15</v>
      </c>
      <c r="O20" s="41">
        <f t="shared" si="5"/>
        <v>15</v>
      </c>
      <c r="P20" s="41">
        <f t="shared" si="6"/>
        <v>0</v>
      </c>
    </row>
    <row r="21" spans="1:17" s="3" customFormat="1" ht="24.6">
      <c r="A21" s="32">
        <f t="shared" si="13"/>
        <v>15</v>
      </c>
      <c r="B21" s="38" t="s">
        <v>215</v>
      </c>
      <c r="C21" s="38" t="s">
        <v>77</v>
      </c>
      <c r="D21" s="39">
        <v>1</v>
      </c>
      <c r="E21" s="65">
        <v>5</v>
      </c>
      <c r="F21" s="65">
        <v>0</v>
      </c>
      <c r="G21" s="65">
        <v>5</v>
      </c>
      <c r="H21" s="65">
        <v>5</v>
      </c>
      <c r="I21" s="65">
        <v>5</v>
      </c>
      <c r="J21" s="65">
        <v>0</v>
      </c>
      <c r="K21" s="41">
        <f t="shared" si="1"/>
        <v>5</v>
      </c>
      <c r="L21" s="41">
        <f t="shared" si="2"/>
        <v>0</v>
      </c>
      <c r="M21" s="41">
        <f t="shared" si="3"/>
        <v>5</v>
      </c>
      <c r="N21" s="41">
        <f t="shared" si="4"/>
        <v>5</v>
      </c>
      <c r="O21" s="41">
        <f t="shared" si="5"/>
        <v>5</v>
      </c>
      <c r="P21" s="41">
        <f t="shared" si="6"/>
        <v>0</v>
      </c>
    </row>
    <row r="22" spans="1:17" s="3" customFormat="1" ht="38.1" customHeight="1">
      <c r="A22" s="32">
        <f t="shared" si="13"/>
        <v>16</v>
      </c>
      <c r="B22" s="38" t="s">
        <v>310</v>
      </c>
      <c r="C22" s="38" t="s">
        <v>311</v>
      </c>
      <c r="D22" s="39">
        <v>2</v>
      </c>
      <c r="E22" s="65">
        <v>5</v>
      </c>
      <c r="F22" s="65">
        <v>5</v>
      </c>
      <c r="G22" s="65">
        <v>5</v>
      </c>
      <c r="H22" s="65">
        <v>5</v>
      </c>
      <c r="I22" s="65">
        <v>5</v>
      </c>
      <c r="J22" s="65">
        <v>5</v>
      </c>
      <c r="K22" s="41">
        <f t="shared" si="1"/>
        <v>10</v>
      </c>
      <c r="L22" s="41">
        <f t="shared" si="2"/>
        <v>10</v>
      </c>
      <c r="M22" s="41">
        <f t="shared" si="3"/>
        <v>10</v>
      </c>
      <c r="N22" s="41">
        <f t="shared" si="4"/>
        <v>10</v>
      </c>
      <c r="O22" s="41">
        <f t="shared" si="5"/>
        <v>10</v>
      </c>
      <c r="P22" s="41">
        <f t="shared" si="6"/>
        <v>10</v>
      </c>
    </row>
    <row r="23" spans="1:17" s="3" customFormat="1" ht="49.2">
      <c r="A23" s="32">
        <f t="shared" si="13"/>
        <v>17</v>
      </c>
      <c r="B23" s="38" t="s">
        <v>312</v>
      </c>
      <c r="C23" s="38" t="s">
        <v>313</v>
      </c>
      <c r="D23" s="39">
        <v>1</v>
      </c>
      <c r="E23" s="65">
        <v>4</v>
      </c>
      <c r="F23" s="65">
        <v>3</v>
      </c>
      <c r="G23" s="65">
        <v>4</v>
      </c>
      <c r="H23" s="65">
        <v>3</v>
      </c>
      <c r="I23" s="65">
        <v>3</v>
      </c>
      <c r="J23" s="65">
        <v>3</v>
      </c>
      <c r="K23" s="41">
        <f t="shared" si="1"/>
        <v>4</v>
      </c>
      <c r="L23" s="41">
        <f t="shared" si="2"/>
        <v>3</v>
      </c>
      <c r="M23" s="41">
        <f t="shared" si="3"/>
        <v>4</v>
      </c>
      <c r="N23" s="41">
        <f t="shared" si="4"/>
        <v>3</v>
      </c>
      <c r="O23" s="41">
        <f t="shared" si="5"/>
        <v>3</v>
      </c>
      <c r="P23" s="41">
        <f t="shared" si="6"/>
        <v>3</v>
      </c>
    </row>
    <row r="24" spans="1:17" s="3" customFormat="1" ht="38.1" customHeight="1">
      <c r="A24" s="39">
        <f t="shared" si="13"/>
        <v>18</v>
      </c>
      <c r="B24" s="38" t="s">
        <v>216</v>
      </c>
      <c r="C24" s="38" t="s">
        <v>217</v>
      </c>
      <c r="D24" s="39">
        <v>3</v>
      </c>
      <c r="E24" s="65">
        <v>5</v>
      </c>
      <c r="F24" s="65">
        <v>5</v>
      </c>
      <c r="G24" s="65">
        <v>5</v>
      </c>
      <c r="H24" s="65">
        <v>5</v>
      </c>
      <c r="I24" s="65">
        <v>5</v>
      </c>
      <c r="J24" s="65">
        <v>5</v>
      </c>
      <c r="K24" s="41">
        <f t="shared" si="1"/>
        <v>15</v>
      </c>
      <c r="L24" s="41">
        <f t="shared" si="2"/>
        <v>15</v>
      </c>
      <c r="M24" s="41">
        <f t="shared" si="3"/>
        <v>15</v>
      </c>
      <c r="N24" s="41">
        <f t="shared" si="4"/>
        <v>15</v>
      </c>
      <c r="O24" s="41">
        <f t="shared" si="5"/>
        <v>15</v>
      </c>
      <c r="P24" s="41">
        <f t="shared" si="6"/>
        <v>15</v>
      </c>
    </row>
    <row r="25" spans="1:17" s="3" customFormat="1" ht="38.1" customHeight="1">
      <c r="A25" s="39">
        <f t="shared" si="13"/>
        <v>19</v>
      </c>
      <c r="B25" s="38" t="s">
        <v>218</v>
      </c>
      <c r="C25" s="38" t="s">
        <v>78</v>
      </c>
      <c r="D25" s="39">
        <v>1</v>
      </c>
      <c r="E25" s="65">
        <v>5</v>
      </c>
      <c r="F25" s="65">
        <v>5</v>
      </c>
      <c r="G25" s="65">
        <v>5</v>
      </c>
      <c r="H25" s="65">
        <v>5</v>
      </c>
      <c r="I25" s="65">
        <v>5</v>
      </c>
      <c r="J25" s="65">
        <v>5</v>
      </c>
      <c r="K25" s="41">
        <f t="shared" si="1"/>
        <v>5</v>
      </c>
      <c r="L25" s="41">
        <f t="shared" si="2"/>
        <v>5</v>
      </c>
      <c r="M25" s="41">
        <f t="shared" si="3"/>
        <v>5</v>
      </c>
      <c r="N25" s="41">
        <f t="shared" si="4"/>
        <v>5</v>
      </c>
      <c r="O25" s="41">
        <f t="shared" si="5"/>
        <v>5</v>
      </c>
      <c r="P25" s="41">
        <f t="shared" si="6"/>
        <v>5</v>
      </c>
      <c r="Q25" s="27" t="s">
        <v>199</v>
      </c>
    </row>
    <row r="26" spans="1:17" s="3" customFormat="1" ht="38.1" customHeight="1">
      <c r="A26" s="39">
        <f t="shared" si="13"/>
        <v>20</v>
      </c>
      <c r="B26" s="38" t="s">
        <v>219</v>
      </c>
      <c r="C26" s="38" t="s">
        <v>79</v>
      </c>
      <c r="D26" s="39">
        <v>2</v>
      </c>
      <c r="E26" s="65">
        <v>5</v>
      </c>
      <c r="F26" s="65">
        <v>5</v>
      </c>
      <c r="G26" s="65">
        <v>5</v>
      </c>
      <c r="H26" s="65">
        <v>5</v>
      </c>
      <c r="I26" s="65">
        <v>5</v>
      </c>
      <c r="J26" s="65">
        <v>5</v>
      </c>
      <c r="K26" s="41">
        <f t="shared" si="1"/>
        <v>10</v>
      </c>
      <c r="L26" s="41">
        <f t="shared" si="2"/>
        <v>10</v>
      </c>
      <c r="M26" s="41">
        <f t="shared" si="3"/>
        <v>10</v>
      </c>
      <c r="N26" s="41">
        <f t="shared" si="4"/>
        <v>10</v>
      </c>
      <c r="O26" s="41">
        <f t="shared" si="5"/>
        <v>10</v>
      </c>
      <c r="P26" s="41">
        <f t="shared" si="6"/>
        <v>10</v>
      </c>
      <c r="Q26" s="27" t="s">
        <v>199</v>
      </c>
    </row>
    <row r="27" spans="1:17" s="3" customFormat="1" ht="38.1" customHeight="1">
      <c r="A27" s="39">
        <f t="shared" si="13"/>
        <v>21</v>
      </c>
      <c r="B27" s="38" t="s">
        <v>220</v>
      </c>
      <c r="C27" s="38" t="s">
        <v>80</v>
      </c>
      <c r="D27" s="39">
        <v>2</v>
      </c>
      <c r="E27" s="65">
        <v>5</v>
      </c>
      <c r="F27" s="65">
        <v>0</v>
      </c>
      <c r="G27" s="65">
        <v>1</v>
      </c>
      <c r="H27" s="65">
        <v>5</v>
      </c>
      <c r="I27" s="65">
        <v>5</v>
      </c>
      <c r="J27" s="65">
        <v>0</v>
      </c>
      <c r="K27" s="41">
        <f t="shared" si="1"/>
        <v>10</v>
      </c>
      <c r="L27" s="41">
        <f t="shared" si="2"/>
        <v>0</v>
      </c>
      <c r="M27" s="41">
        <f t="shared" si="3"/>
        <v>2</v>
      </c>
      <c r="N27" s="41">
        <f t="shared" si="4"/>
        <v>10</v>
      </c>
      <c r="O27" s="41">
        <f t="shared" si="5"/>
        <v>10</v>
      </c>
      <c r="P27" s="41">
        <f t="shared" si="6"/>
        <v>0</v>
      </c>
      <c r="Q27" s="27" t="s">
        <v>199</v>
      </c>
    </row>
    <row r="28" spans="1:17" s="3" customFormat="1" ht="38.1" customHeight="1">
      <c r="A28" s="39">
        <f t="shared" si="13"/>
        <v>22</v>
      </c>
      <c r="B28" s="38" t="s">
        <v>221</v>
      </c>
      <c r="C28" s="38" t="s">
        <v>81</v>
      </c>
      <c r="D28" s="39">
        <v>2</v>
      </c>
      <c r="E28" s="65">
        <v>2</v>
      </c>
      <c r="F28" s="65">
        <v>2</v>
      </c>
      <c r="G28" s="65">
        <v>3</v>
      </c>
      <c r="H28" s="65">
        <v>5</v>
      </c>
      <c r="I28" s="65">
        <v>2</v>
      </c>
      <c r="J28" s="65">
        <v>2</v>
      </c>
      <c r="K28" s="41">
        <f t="shared" si="1"/>
        <v>4</v>
      </c>
      <c r="L28" s="41">
        <f t="shared" si="2"/>
        <v>4</v>
      </c>
      <c r="M28" s="41">
        <f t="shared" si="3"/>
        <v>6</v>
      </c>
      <c r="N28" s="41">
        <f t="shared" si="4"/>
        <v>10</v>
      </c>
      <c r="O28" s="41">
        <f t="shared" si="5"/>
        <v>4</v>
      </c>
      <c r="P28" s="41">
        <f t="shared" si="6"/>
        <v>4</v>
      </c>
      <c r="Q28" s="27" t="s">
        <v>199</v>
      </c>
    </row>
    <row r="29" spans="1:17" s="3" customFormat="1" ht="38.1" customHeight="1">
      <c r="A29" s="39">
        <f t="shared" si="13"/>
        <v>23</v>
      </c>
      <c r="B29" s="38" t="s">
        <v>222</v>
      </c>
      <c r="C29" s="38" t="s">
        <v>82</v>
      </c>
      <c r="D29" s="39">
        <v>3</v>
      </c>
      <c r="E29" s="65">
        <v>4</v>
      </c>
      <c r="F29" s="65">
        <v>2</v>
      </c>
      <c r="G29" s="65">
        <v>3</v>
      </c>
      <c r="H29" s="65">
        <v>3</v>
      </c>
      <c r="I29" s="65">
        <v>3</v>
      </c>
      <c r="J29" s="65">
        <v>2</v>
      </c>
      <c r="K29" s="41">
        <f t="shared" si="1"/>
        <v>12</v>
      </c>
      <c r="L29" s="41">
        <f t="shared" si="2"/>
        <v>6</v>
      </c>
      <c r="M29" s="41">
        <f t="shared" si="3"/>
        <v>9</v>
      </c>
      <c r="N29" s="41">
        <f t="shared" si="4"/>
        <v>9</v>
      </c>
      <c r="O29" s="41">
        <f t="shared" si="5"/>
        <v>9</v>
      </c>
      <c r="P29" s="41">
        <f t="shared" si="6"/>
        <v>6</v>
      </c>
      <c r="Q29" s="27" t="s">
        <v>199</v>
      </c>
    </row>
    <row r="30" spans="1:17" s="3" customFormat="1" ht="38.1" customHeight="1">
      <c r="A30" s="39">
        <f t="shared" si="13"/>
        <v>24</v>
      </c>
      <c r="B30" s="38" t="s">
        <v>223</v>
      </c>
      <c r="C30" s="38" t="s">
        <v>224</v>
      </c>
      <c r="D30" s="39">
        <v>2</v>
      </c>
      <c r="E30" s="65">
        <v>3</v>
      </c>
      <c r="F30" s="65">
        <v>3</v>
      </c>
      <c r="G30" s="65">
        <v>3</v>
      </c>
      <c r="H30" s="65">
        <v>3</v>
      </c>
      <c r="I30" s="65">
        <v>3</v>
      </c>
      <c r="J30" s="65">
        <v>3</v>
      </c>
      <c r="K30" s="41">
        <f t="shared" si="1"/>
        <v>6</v>
      </c>
      <c r="L30" s="41">
        <f t="shared" si="2"/>
        <v>6</v>
      </c>
      <c r="M30" s="41">
        <f t="shared" si="3"/>
        <v>6</v>
      </c>
      <c r="N30" s="41">
        <f t="shared" si="4"/>
        <v>6</v>
      </c>
      <c r="O30" s="41">
        <f t="shared" si="5"/>
        <v>6</v>
      </c>
      <c r="P30" s="41">
        <f t="shared" si="6"/>
        <v>6</v>
      </c>
    </row>
    <row r="31" spans="1:17" s="3" customFormat="1" ht="38.1" customHeight="1">
      <c r="A31" s="39">
        <f t="shared" si="13"/>
        <v>25</v>
      </c>
      <c r="B31" s="38" t="s">
        <v>225</v>
      </c>
      <c r="C31" s="38" t="s">
        <v>261</v>
      </c>
      <c r="D31" s="39">
        <v>2</v>
      </c>
      <c r="E31" s="65">
        <v>3</v>
      </c>
      <c r="F31" s="65">
        <v>3</v>
      </c>
      <c r="G31" s="65">
        <v>3</v>
      </c>
      <c r="H31" s="65">
        <v>4</v>
      </c>
      <c r="I31" s="65">
        <v>3</v>
      </c>
      <c r="J31" s="65">
        <v>3</v>
      </c>
      <c r="K31" s="41">
        <f t="shared" si="1"/>
        <v>6</v>
      </c>
      <c r="L31" s="41">
        <f t="shared" si="2"/>
        <v>6</v>
      </c>
      <c r="M31" s="41">
        <f t="shared" si="3"/>
        <v>6</v>
      </c>
      <c r="N31" s="41">
        <f t="shared" si="4"/>
        <v>8</v>
      </c>
      <c r="O31" s="41">
        <f t="shared" si="5"/>
        <v>6</v>
      </c>
      <c r="P31" s="41">
        <f t="shared" si="6"/>
        <v>6</v>
      </c>
      <c r="Q31" s="27" t="s">
        <v>199</v>
      </c>
    </row>
    <row r="32" spans="1:17" s="3" customFormat="1" ht="38.1" customHeight="1">
      <c r="A32" s="39">
        <f t="shared" si="13"/>
        <v>26</v>
      </c>
      <c r="B32" s="38" t="s">
        <v>226</v>
      </c>
      <c r="C32" s="38" t="s">
        <v>83</v>
      </c>
      <c r="D32" s="39">
        <v>3</v>
      </c>
      <c r="E32" s="65">
        <v>5</v>
      </c>
      <c r="F32" s="65">
        <v>5</v>
      </c>
      <c r="G32" s="65">
        <v>5</v>
      </c>
      <c r="H32" s="65">
        <v>5</v>
      </c>
      <c r="I32" s="65">
        <v>5</v>
      </c>
      <c r="J32" s="65">
        <v>5</v>
      </c>
      <c r="K32" s="41">
        <f t="shared" si="1"/>
        <v>15</v>
      </c>
      <c r="L32" s="41">
        <f t="shared" si="2"/>
        <v>15</v>
      </c>
      <c r="M32" s="41">
        <f t="shared" si="3"/>
        <v>15</v>
      </c>
      <c r="N32" s="41">
        <f t="shared" si="4"/>
        <v>15</v>
      </c>
      <c r="O32" s="41">
        <f t="shared" si="5"/>
        <v>15</v>
      </c>
      <c r="P32" s="41">
        <f t="shared" si="6"/>
        <v>15</v>
      </c>
      <c r="Q32" s="50" t="s">
        <v>199</v>
      </c>
    </row>
    <row r="33" spans="1:17" s="3" customFormat="1" ht="38.1" customHeight="1">
      <c r="A33" s="39">
        <f t="shared" si="13"/>
        <v>27</v>
      </c>
      <c r="B33" s="38" t="s">
        <v>227</v>
      </c>
      <c r="C33" s="38" t="s">
        <v>84</v>
      </c>
      <c r="D33" s="39">
        <v>3</v>
      </c>
      <c r="E33" s="65">
        <v>5</v>
      </c>
      <c r="F33" s="65">
        <v>5</v>
      </c>
      <c r="G33" s="65">
        <v>5</v>
      </c>
      <c r="H33" s="65">
        <v>5</v>
      </c>
      <c r="I33" s="65">
        <v>5</v>
      </c>
      <c r="J33" s="65">
        <v>5</v>
      </c>
      <c r="K33" s="41">
        <f t="shared" ref="K33" si="14">PRODUCT(D33,E33)</f>
        <v>15</v>
      </c>
      <c r="L33" s="41">
        <f t="shared" ref="L33" si="15">PRODUCT(D33,F33)</f>
        <v>15</v>
      </c>
      <c r="M33" s="41">
        <f t="shared" ref="M33" si="16">PRODUCT(D33,G33)</f>
        <v>15</v>
      </c>
      <c r="N33" s="41">
        <f t="shared" ref="N33" si="17">PRODUCT(D33,H33)</f>
        <v>15</v>
      </c>
      <c r="O33" s="41">
        <f t="shared" ref="O33" si="18">PRODUCT(D33,I33)</f>
        <v>15</v>
      </c>
      <c r="P33" s="41">
        <f t="shared" ref="P33" si="19">PRODUCT(D33,J33)</f>
        <v>15</v>
      </c>
      <c r="Q33" s="50" t="s">
        <v>199</v>
      </c>
    </row>
    <row r="34" spans="1:17" s="3" customFormat="1" ht="38.1" customHeight="1">
      <c r="A34" s="39">
        <f t="shared" si="13"/>
        <v>28</v>
      </c>
      <c r="B34" s="38" t="s">
        <v>262</v>
      </c>
      <c r="C34" s="38" t="s">
        <v>85</v>
      </c>
      <c r="D34" s="39">
        <v>3</v>
      </c>
      <c r="E34" s="65">
        <v>5</v>
      </c>
      <c r="F34" s="65">
        <v>3</v>
      </c>
      <c r="G34" s="65">
        <v>5</v>
      </c>
      <c r="H34" s="65">
        <v>4</v>
      </c>
      <c r="I34" s="65">
        <v>4</v>
      </c>
      <c r="J34" s="65">
        <v>2</v>
      </c>
      <c r="K34" s="41">
        <f t="shared" ref="K34" si="20">PRODUCT(D34,E34)</f>
        <v>15</v>
      </c>
      <c r="L34" s="41">
        <f t="shared" ref="L34" si="21">PRODUCT(D34,F34)</f>
        <v>9</v>
      </c>
      <c r="M34" s="41">
        <f t="shared" ref="M34" si="22">PRODUCT(D34,G34)</f>
        <v>15</v>
      </c>
      <c r="N34" s="41">
        <f t="shared" ref="N34" si="23">PRODUCT(D34,H34)</f>
        <v>12</v>
      </c>
      <c r="O34" s="41">
        <f t="shared" ref="O34" si="24">PRODUCT(D34,I34)</f>
        <v>12</v>
      </c>
      <c r="P34" s="41">
        <f t="shared" ref="P34" si="25">PRODUCT(D34,J34)</f>
        <v>6</v>
      </c>
      <c r="Q34" s="50" t="s">
        <v>199</v>
      </c>
    </row>
    <row r="35" spans="1:17" s="3" customFormat="1" ht="38.1" customHeight="1">
      <c r="A35" s="39">
        <f t="shared" si="13"/>
        <v>29</v>
      </c>
      <c r="B35" s="38" t="s">
        <v>228</v>
      </c>
      <c r="C35" s="38" t="s">
        <v>305</v>
      </c>
      <c r="D35" s="39">
        <v>3</v>
      </c>
      <c r="E35" s="65">
        <v>0</v>
      </c>
      <c r="F35" s="65">
        <v>0</v>
      </c>
      <c r="G35" s="65">
        <v>5</v>
      </c>
      <c r="H35" s="65">
        <v>5</v>
      </c>
      <c r="I35" s="65">
        <v>5</v>
      </c>
      <c r="J35" s="65">
        <v>0</v>
      </c>
      <c r="K35" s="41">
        <f t="shared" ref="K35" si="26">PRODUCT(D35,E35)</f>
        <v>0</v>
      </c>
      <c r="L35" s="41">
        <f t="shared" ref="L35" si="27">PRODUCT(D35,F35)</f>
        <v>0</v>
      </c>
      <c r="M35" s="41">
        <f t="shared" ref="M35" si="28">PRODUCT(D35,G35)</f>
        <v>15</v>
      </c>
      <c r="N35" s="41">
        <f t="shared" ref="N35" si="29">PRODUCT(D35,H35)</f>
        <v>15</v>
      </c>
      <c r="O35" s="41">
        <f t="shared" ref="O35" si="30">PRODUCT(D35,I35)</f>
        <v>15</v>
      </c>
      <c r="P35" s="41">
        <f t="shared" ref="P35" si="31">PRODUCT(D35,J35)</f>
        <v>0</v>
      </c>
      <c r="Q35" s="50" t="s">
        <v>199</v>
      </c>
    </row>
    <row r="36" spans="1:17" s="3" customFormat="1" ht="38.1" customHeight="1">
      <c r="A36" s="39">
        <f t="shared" si="13"/>
        <v>30</v>
      </c>
      <c r="B36" s="38" t="s">
        <v>315</v>
      </c>
      <c r="C36" s="38"/>
      <c r="D36" s="39">
        <v>2</v>
      </c>
      <c r="E36" s="65">
        <v>4</v>
      </c>
      <c r="F36" s="65">
        <v>5</v>
      </c>
      <c r="G36" s="65">
        <v>3</v>
      </c>
      <c r="H36" s="65">
        <v>4</v>
      </c>
      <c r="I36" s="65">
        <v>4</v>
      </c>
      <c r="J36" s="65">
        <v>5</v>
      </c>
      <c r="K36" s="41">
        <f t="shared" ref="K36" si="32">PRODUCT(D36,E36)</f>
        <v>8</v>
      </c>
      <c r="L36" s="41">
        <f t="shared" ref="L36" si="33">PRODUCT(D36,F36)</f>
        <v>10</v>
      </c>
      <c r="M36" s="41">
        <f t="shared" ref="M36" si="34">PRODUCT(D36,G36)</f>
        <v>6</v>
      </c>
      <c r="N36" s="41">
        <f t="shared" ref="N36" si="35">PRODUCT(D36,H36)</f>
        <v>8</v>
      </c>
      <c r="O36" s="41">
        <f t="shared" ref="O36" si="36">PRODUCT(D36,I36)</f>
        <v>8</v>
      </c>
      <c r="P36" s="41">
        <f t="shared" ref="P36" si="37">PRODUCT(D36,J36)</f>
        <v>10</v>
      </c>
      <c r="Q36" s="50" t="s">
        <v>199</v>
      </c>
    </row>
    <row r="38" spans="1:17">
      <c r="D38" s="49" t="s">
        <v>10</v>
      </c>
      <c r="K38" s="49" t="s">
        <v>11</v>
      </c>
      <c r="L38" s="49" t="s">
        <v>11</v>
      </c>
      <c r="M38" s="49" t="s">
        <v>11</v>
      </c>
      <c r="N38" s="49" t="s">
        <v>11</v>
      </c>
      <c r="O38" s="49" t="s">
        <v>11</v>
      </c>
      <c r="P38" s="49" t="s">
        <v>11</v>
      </c>
    </row>
    <row r="39" spans="1:17">
      <c r="D39" s="39">
        <f>SUM(D7:D37) *5</f>
        <v>310</v>
      </c>
      <c r="K39" s="39">
        <f t="shared" ref="K39:P39" si="38">SUM(K7:K37)</f>
        <v>236</v>
      </c>
      <c r="L39" s="39">
        <f t="shared" si="38"/>
        <v>186</v>
      </c>
      <c r="M39" s="39">
        <f t="shared" si="38"/>
        <v>269</v>
      </c>
      <c r="N39" s="39">
        <f t="shared" si="38"/>
        <v>267</v>
      </c>
      <c r="O39" s="39">
        <f t="shared" si="38"/>
        <v>246</v>
      </c>
      <c r="P39" s="39">
        <f t="shared" si="38"/>
        <v>172</v>
      </c>
    </row>
    <row r="41" spans="1:17">
      <c r="D41" s="49" t="s">
        <v>12</v>
      </c>
      <c r="K41" s="49" t="s">
        <v>12</v>
      </c>
      <c r="L41" s="49" t="s">
        <v>12</v>
      </c>
      <c r="M41" s="49" t="s">
        <v>12</v>
      </c>
      <c r="N41" s="49" t="s">
        <v>12</v>
      </c>
      <c r="O41" s="49" t="s">
        <v>12</v>
      </c>
      <c r="P41" s="49" t="s">
        <v>12</v>
      </c>
    </row>
    <row r="42" spans="1:17">
      <c r="D42" s="39">
        <f>PRODUCT(D39,1/G2)</f>
        <v>10.333333333333334</v>
      </c>
      <c r="K42" s="39">
        <f>PRODUCT(K39,1/G2)</f>
        <v>7.8666666666666663</v>
      </c>
      <c r="L42" s="39">
        <f>PRODUCT(L39,1/G2)</f>
        <v>6.2</v>
      </c>
      <c r="M42" s="39">
        <f>PRODUCT(M39,1/G2)</f>
        <v>8.9666666666666668</v>
      </c>
      <c r="N42" s="39">
        <f>PRODUCT(N39,1/G2)</f>
        <v>8.9</v>
      </c>
      <c r="O42" s="39">
        <f>PRODUCT(O39,1/G2)</f>
        <v>8.1999999999999993</v>
      </c>
      <c r="P42" s="39">
        <f>PRODUCT(P39,1/G2)</f>
        <v>5.7333333333333334</v>
      </c>
    </row>
  </sheetData>
  <phoneticPr fontId="4" type="noConversion"/>
  <pageMargins left="0.78740157499999996" right="0.78740157499999996" top="0.984251969" bottom="0.984251969" header="0.4921259845" footer="0.4921259845"/>
  <pageSetup paperSize="9" scale="4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45720</xdr:colOff>
                    <xdr:row>2</xdr:row>
                    <xdr:rowOff>60960</xdr:rowOff>
                  </from>
                  <to>
                    <xdr:col>6</xdr:col>
                    <xdr:colOff>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21"/>
  <sheetViews>
    <sheetView showGridLines="0" topLeftCell="C1" zoomScale="115" zoomScaleNormal="115" workbookViewId="0">
      <pane ySplit="6" topLeftCell="A7" activePane="bottomLeft" state="frozen"/>
      <selection pane="bottomLeft" activeCell="G9" sqref="G9"/>
    </sheetView>
  </sheetViews>
  <sheetFormatPr baseColWidth="10" defaultColWidth="11.44140625" defaultRowHeight="12.3"/>
  <cols>
    <col min="1" max="1" width="3.5546875" style="8" customWidth="1"/>
    <col min="2" max="2" width="46.6640625" style="8" customWidth="1"/>
    <col min="3" max="3" width="46.33203125" style="8" customWidth="1"/>
    <col min="4" max="4" width="14.109375" style="11" customWidth="1"/>
    <col min="5" max="16" width="9" style="11" customWidth="1"/>
    <col min="17" max="16384" width="11.44140625" style="8"/>
  </cols>
  <sheetData>
    <row r="1" spans="1:17" ht="18" customHeight="1">
      <c r="A1" s="42"/>
      <c r="B1" s="43" t="s">
        <v>25</v>
      </c>
      <c r="D1" s="9" t="s">
        <v>4</v>
      </c>
      <c r="E1" s="10" t="s">
        <v>5</v>
      </c>
      <c r="G1" s="11" t="s">
        <v>6</v>
      </c>
    </row>
    <row r="2" spans="1:17" ht="11.1" customHeight="1">
      <c r="D2" s="12" t="s">
        <v>2</v>
      </c>
      <c r="E2" s="10"/>
      <c r="G2" s="11">
        <v>9</v>
      </c>
    </row>
    <row r="3" spans="1:17" ht="11.1" customHeight="1">
      <c r="D3" s="12" t="s">
        <v>300</v>
      </c>
      <c r="E3" s="10"/>
    </row>
    <row r="4" spans="1:17" ht="11.1" customHeight="1">
      <c r="D4" s="13" t="s">
        <v>3</v>
      </c>
      <c r="E4" s="10"/>
    </row>
    <row r="6" spans="1:17" s="14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15" customFormat="1" ht="69.900000000000006" customHeight="1">
      <c r="A7" s="33">
        <v>1</v>
      </c>
      <c r="B7" s="38" t="s">
        <v>229</v>
      </c>
      <c r="C7" s="38" t="s">
        <v>86</v>
      </c>
      <c r="D7" s="33">
        <v>3</v>
      </c>
      <c r="E7" s="41">
        <v>5</v>
      </c>
      <c r="F7" s="41">
        <v>5</v>
      </c>
      <c r="G7" s="41">
        <v>5</v>
      </c>
      <c r="H7" s="41">
        <v>5</v>
      </c>
      <c r="I7" s="41">
        <v>5</v>
      </c>
      <c r="J7" s="41">
        <v>5</v>
      </c>
      <c r="K7" s="41">
        <f>PRODUCT(D7,E7)</f>
        <v>15</v>
      </c>
      <c r="L7" s="41">
        <f>PRODUCT(D7,F7)</f>
        <v>15</v>
      </c>
      <c r="M7" s="41">
        <f>PRODUCT(D7,G7)</f>
        <v>15</v>
      </c>
      <c r="N7" s="41">
        <f>PRODUCT(D7,H7)</f>
        <v>15</v>
      </c>
      <c r="O7" s="41">
        <f>PRODUCT(D7,I7)</f>
        <v>15</v>
      </c>
      <c r="P7" s="41">
        <f>PRODUCT(D7,J7)</f>
        <v>15</v>
      </c>
    </row>
    <row r="8" spans="1:17" s="15" customFormat="1" ht="61.5">
      <c r="A8" s="33">
        <f t="shared" ref="A8:A15" si="0">SUM(A7,1)</f>
        <v>2</v>
      </c>
      <c r="B8" s="38" t="s">
        <v>230</v>
      </c>
      <c r="C8" s="38" t="s">
        <v>231</v>
      </c>
      <c r="D8" s="33">
        <v>1</v>
      </c>
      <c r="E8" s="41">
        <v>3</v>
      </c>
      <c r="F8" s="41">
        <v>3</v>
      </c>
      <c r="G8" s="41">
        <v>3</v>
      </c>
      <c r="H8" s="41">
        <v>3</v>
      </c>
      <c r="I8" s="41">
        <v>3</v>
      </c>
      <c r="J8" s="41">
        <v>3</v>
      </c>
      <c r="K8" s="41">
        <f t="shared" ref="K8:K11" si="1">PRODUCT(D8,E8)</f>
        <v>3</v>
      </c>
      <c r="L8" s="41">
        <f t="shared" ref="L8:L11" si="2">PRODUCT(D8,F8)</f>
        <v>3</v>
      </c>
      <c r="M8" s="41">
        <f t="shared" ref="M8:M11" si="3">PRODUCT(D8,G8)</f>
        <v>3</v>
      </c>
      <c r="N8" s="41">
        <f t="shared" ref="N8:N11" si="4">PRODUCT(D8,H8)</f>
        <v>3</v>
      </c>
      <c r="O8" s="41">
        <f t="shared" ref="O8:O11" si="5">PRODUCT(D8,I8)</f>
        <v>3</v>
      </c>
      <c r="P8" s="41">
        <f t="shared" ref="P8:P11" si="6">PRODUCT(D8,J8)</f>
        <v>3</v>
      </c>
    </row>
    <row r="9" spans="1:17" s="15" customFormat="1" ht="38.25" customHeight="1">
      <c r="A9" s="33">
        <f t="shared" si="0"/>
        <v>3</v>
      </c>
      <c r="B9" s="38" t="s">
        <v>232</v>
      </c>
      <c r="C9" s="38" t="s">
        <v>87</v>
      </c>
      <c r="D9" s="33">
        <v>3</v>
      </c>
      <c r="E9" s="41">
        <v>5</v>
      </c>
      <c r="F9" s="41">
        <v>3</v>
      </c>
      <c r="G9" s="41">
        <v>5</v>
      </c>
      <c r="H9" s="41">
        <v>5</v>
      </c>
      <c r="I9" s="41">
        <v>5</v>
      </c>
      <c r="J9" s="41">
        <v>5</v>
      </c>
      <c r="K9" s="41">
        <f t="shared" si="1"/>
        <v>15</v>
      </c>
      <c r="L9" s="41">
        <f t="shared" si="2"/>
        <v>9</v>
      </c>
      <c r="M9" s="41">
        <f t="shared" si="3"/>
        <v>15</v>
      </c>
      <c r="N9" s="41">
        <f t="shared" si="4"/>
        <v>15</v>
      </c>
      <c r="O9" s="41">
        <f t="shared" si="5"/>
        <v>15</v>
      </c>
      <c r="P9" s="41">
        <f t="shared" si="6"/>
        <v>15</v>
      </c>
      <c r="Q9" s="15" t="s">
        <v>199</v>
      </c>
    </row>
    <row r="10" spans="1:17" s="15" customFormat="1" ht="41.25" customHeight="1">
      <c r="A10" s="39">
        <f t="shared" si="0"/>
        <v>4</v>
      </c>
      <c r="B10" s="38" t="s">
        <v>233</v>
      </c>
      <c r="C10" s="38" t="s">
        <v>88</v>
      </c>
      <c r="D10" s="39">
        <v>2</v>
      </c>
      <c r="E10" s="41">
        <v>2</v>
      </c>
      <c r="F10" s="41">
        <v>0</v>
      </c>
      <c r="G10" s="65">
        <v>0</v>
      </c>
      <c r="H10" s="41">
        <v>5</v>
      </c>
      <c r="I10" s="41">
        <v>5</v>
      </c>
      <c r="J10" s="41">
        <v>2</v>
      </c>
      <c r="K10" s="41">
        <f t="shared" si="1"/>
        <v>4</v>
      </c>
      <c r="L10" s="41">
        <f t="shared" si="2"/>
        <v>0</v>
      </c>
      <c r="M10" s="41">
        <f t="shared" si="3"/>
        <v>0</v>
      </c>
      <c r="N10" s="41">
        <f t="shared" si="4"/>
        <v>10</v>
      </c>
      <c r="O10" s="41">
        <f t="shared" si="5"/>
        <v>10</v>
      </c>
      <c r="P10" s="41">
        <f t="shared" si="6"/>
        <v>4</v>
      </c>
    </row>
    <row r="11" spans="1:17" s="15" customFormat="1" ht="39.75" customHeight="1">
      <c r="A11" s="39">
        <f t="shared" si="0"/>
        <v>5</v>
      </c>
      <c r="B11" s="38" t="s">
        <v>234</v>
      </c>
      <c r="C11" s="38" t="s">
        <v>89</v>
      </c>
      <c r="D11" s="39">
        <v>2</v>
      </c>
      <c r="E11" s="41">
        <v>3</v>
      </c>
      <c r="F11" s="41">
        <v>5</v>
      </c>
      <c r="G11" s="41">
        <v>5</v>
      </c>
      <c r="H11" s="41">
        <v>5</v>
      </c>
      <c r="I11" s="41">
        <v>5</v>
      </c>
      <c r="J11" s="41">
        <v>3</v>
      </c>
      <c r="K11" s="41">
        <f t="shared" si="1"/>
        <v>6</v>
      </c>
      <c r="L11" s="41">
        <f t="shared" si="2"/>
        <v>10</v>
      </c>
      <c r="M11" s="41">
        <f t="shared" si="3"/>
        <v>10</v>
      </c>
      <c r="N11" s="41">
        <f t="shared" si="4"/>
        <v>10</v>
      </c>
      <c r="O11" s="41">
        <f t="shared" si="5"/>
        <v>10</v>
      </c>
      <c r="P11" s="41">
        <f t="shared" si="6"/>
        <v>6</v>
      </c>
      <c r="Q11" s="15" t="s">
        <v>199</v>
      </c>
    </row>
    <row r="12" spans="1:17" s="15" customFormat="1" ht="39.75" customHeight="1">
      <c r="A12" s="39">
        <f t="shared" si="0"/>
        <v>6</v>
      </c>
      <c r="B12" s="38" t="s">
        <v>235</v>
      </c>
      <c r="C12" s="38" t="s">
        <v>90</v>
      </c>
      <c r="D12" s="39">
        <v>3</v>
      </c>
      <c r="E12" s="41">
        <v>5</v>
      </c>
      <c r="F12" s="41">
        <v>0</v>
      </c>
      <c r="G12" s="41">
        <v>5</v>
      </c>
      <c r="H12" s="41">
        <v>4</v>
      </c>
      <c r="I12" s="41">
        <v>4</v>
      </c>
      <c r="J12" s="41">
        <v>0</v>
      </c>
      <c r="K12" s="41">
        <f>PRODUCT(D12,E12)</f>
        <v>15</v>
      </c>
      <c r="L12" s="41">
        <f>PRODUCT(D12,F12)</f>
        <v>0</v>
      </c>
      <c r="M12" s="41">
        <f>PRODUCT(D12,G12)</f>
        <v>15</v>
      </c>
      <c r="N12" s="41">
        <f>PRODUCT(D12,H12)</f>
        <v>12</v>
      </c>
      <c r="O12" s="41">
        <f>PRODUCT(D12,I12)</f>
        <v>12</v>
      </c>
      <c r="P12" s="41">
        <f>PRODUCT(D12,J12)</f>
        <v>0</v>
      </c>
      <c r="Q12" s="15" t="s">
        <v>199</v>
      </c>
    </row>
    <row r="13" spans="1:17" s="15" customFormat="1" ht="39.75" customHeight="1">
      <c r="A13" s="39">
        <f t="shared" si="0"/>
        <v>7</v>
      </c>
      <c r="B13" s="38" t="s">
        <v>41</v>
      </c>
      <c r="C13" s="38"/>
      <c r="D13" s="39">
        <v>3</v>
      </c>
      <c r="E13" s="41">
        <v>5</v>
      </c>
      <c r="F13" s="41">
        <v>5</v>
      </c>
      <c r="G13" s="41">
        <v>5</v>
      </c>
      <c r="H13" s="41">
        <v>5</v>
      </c>
      <c r="I13" s="41">
        <v>5</v>
      </c>
      <c r="J13" s="41">
        <v>5</v>
      </c>
      <c r="K13" s="41">
        <f>PRODUCT(D13,E13)</f>
        <v>15</v>
      </c>
      <c r="L13" s="41">
        <f>PRODUCT(D13,F13)</f>
        <v>15</v>
      </c>
      <c r="M13" s="41">
        <f>PRODUCT(D13,G13)</f>
        <v>15</v>
      </c>
      <c r="N13" s="41">
        <f>PRODUCT(D13,H13)</f>
        <v>15</v>
      </c>
      <c r="O13" s="41">
        <f>PRODUCT(D13,I13)</f>
        <v>15</v>
      </c>
      <c r="P13" s="41">
        <f>PRODUCT(D13,J13)</f>
        <v>15</v>
      </c>
      <c r="Q13" s="15" t="s">
        <v>199</v>
      </c>
    </row>
    <row r="14" spans="1:17" s="15" customFormat="1" ht="39.75" customHeight="1">
      <c r="A14" s="39">
        <f t="shared" si="0"/>
        <v>8</v>
      </c>
      <c r="B14" s="38" t="s">
        <v>42</v>
      </c>
      <c r="C14" s="38"/>
      <c r="D14" s="39">
        <v>1</v>
      </c>
      <c r="E14" s="41">
        <v>0</v>
      </c>
      <c r="F14" s="41">
        <v>0</v>
      </c>
      <c r="G14" s="41">
        <v>3</v>
      </c>
      <c r="H14" s="41">
        <v>0</v>
      </c>
      <c r="I14" s="41">
        <v>2</v>
      </c>
      <c r="J14" s="41">
        <v>0</v>
      </c>
      <c r="K14" s="41">
        <f>PRODUCT(D14,E14)</f>
        <v>0</v>
      </c>
      <c r="L14" s="41">
        <f>PRODUCT(D14,F14)</f>
        <v>0</v>
      </c>
      <c r="M14" s="41">
        <f>PRODUCT(D14,G14)</f>
        <v>3</v>
      </c>
      <c r="N14" s="41">
        <f>PRODUCT(D14,H14)</f>
        <v>0</v>
      </c>
      <c r="O14" s="41">
        <f>PRODUCT(D14,I14)</f>
        <v>2</v>
      </c>
      <c r="P14" s="41">
        <f>PRODUCT(D14,J14)</f>
        <v>0</v>
      </c>
      <c r="Q14" s="15" t="s">
        <v>199</v>
      </c>
    </row>
    <row r="15" spans="1:17" s="15" customFormat="1" ht="52.5" customHeight="1">
      <c r="A15" s="39">
        <f t="shared" si="0"/>
        <v>9</v>
      </c>
      <c r="B15" s="40" t="s">
        <v>150</v>
      </c>
      <c r="C15" s="40" t="s">
        <v>149</v>
      </c>
      <c r="D15" s="41">
        <v>3</v>
      </c>
      <c r="E15" s="41">
        <v>5</v>
      </c>
      <c r="F15" s="41">
        <v>4</v>
      </c>
      <c r="G15" s="41">
        <v>5</v>
      </c>
      <c r="H15" s="41">
        <v>5</v>
      </c>
      <c r="I15" s="41">
        <v>5</v>
      </c>
      <c r="J15" s="41">
        <v>4</v>
      </c>
      <c r="K15" s="41">
        <f>PRODUCT(D15,E15)</f>
        <v>15</v>
      </c>
      <c r="L15" s="41">
        <f>PRODUCT(D15,F15)</f>
        <v>12</v>
      </c>
      <c r="M15" s="41">
        <f>PRODUCT(D15,G15)</f>
        <v>15</v>
      </c>
      <c r="N15" s="41">
        <f>PRODUCT(D15,H15)</f>
        <v>15</v>
      </c>
      <c r="O15" s="41">
        <f>PRODUCT(D15,I15)</f>
        <v>15</v>
      </c>
      <c r="P15" s="41">
        <f>PRODUCT(D15,J15)</f>
        <v>12</v>
      </c>
      <c r="Q15" s="15" t="s">
        <v>199</v>
      </c>
    </row>
    <row r="17" spans="4:16">
      <c r="D17" s="49" t="s">
        <v>10</v>
      </c>
      <c r="K17" s="49" t="s">
        <v>11</v>
      </c>
      <c r="L17" s="49" t="s">
        <v>11</v>
      </c>
      <c r="M17" s="49" t="s">
        <v>11</v>
      </c>
      <c r="N17" s="49" t="s">
        <v>11</v>
      </c>
      <c r="O17" s="49" t="s">
        <v>11</v>
      </c>
      <c r="P17" s="49" t="s">
        <v>11</v>
      </c>
    </row>
    <row r="18" spans="4:16">
      <c r="D18" s="39">
        <f>SUM(D7:D16) *5</f>
        <v>105</v>
      </c>
      <c r="K18" s="39">
        <f t="shared" ref="K18:P18" si="7">SUM(K7:K16)</f>
        <v>88</v>
      </c>
      <c r="L18" s="39">
        <f t="shared" si="7"/>
        <v>64</v>
      </c>
      <c r="M18" s="39">
        <f t="shared" si="7"/>
        <v>91</v>
      </c>
      <c r="N18" s="39">
        <f t="shared" si="7"/>
        <v>95</v>
      </c>
      <c r="O18" s="39">
        <f t="shared" si="7"/>
        <v>97</v>
      </c>
      <c r="P18" s="39">
        <f t="shared" si="7"/>
        <v>70</v>
      </c>
    </row>
    <row r="20" spans="4:16">
      <c r="D20" s="49" t="s">
        <v>12</v>
      </c>
      <c r="K20" s="49" t="s">
        <v>12</v>
      </c>
      <c r="L20" s="49" t="s">
        <v>12</v>
      </c>
      <c r="M20" s="49" t="s">
        <v>12</v>
      </c>
      <c r="N20" s="49" t="s">
        <v>12</v>
      </c>
      <c r="O20" s="49" t="s">
        <v>12</v>
      </c>
      <c r="P20" s="49" t="s">
        <v>12</v>
      </c>
    </row>
    <row r="21" spans="4:16">
      <c r="D21" s="39">
        <f>PRODUCT(D18,1/G2)</f>
        <v>11.666666666666666</v>
      </c>
      <c r="K21" s="39">
        <f>PRODUCT(K18,1/G2)</f>
        <v>9.7777777777777768</v>
      </c>
      <c r="L21" s="39">
        <f>PRODUCT(L18,1/G2)</f>
        <v>7.1111111111111107</v>
      </c>
      <c r="M21" s="39">
        <f>PRODUCT(M18,1/G2)</f>
        <v>10.111111111111111</v>
      </c>
      <c r="N21" s="39">
        <f>PRODUCT(N18,1/G2)</f>
        <v>10.555555555555555</v>
      </c>
      <c r="O21" s="39">
        <f>PRODUCT(O18,1/G2)</f>
        <v>10.777777777777777</v>
      </c>
      <c r="P21" s="39">
        <f>PRODUCT(P18,1/G2)</f>
        <v>7.7777777777777777</v>
      </c>
    </row>
  </sheetData>
  <phoneticPr fontId="4" type="noConversion"/>
  <pageMargins left="0.78740157499999996" right="0.78740157499999996" top="0.984251969" bottom="0.984251969" header="0.4921259845" footer="0.4921259845"/>
  <pageSetup paperSize="9" scale="8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45720</xdr:colOff>
                    <xdr:row>2</xdr:row>
                    <xdr:rowOff>60960</xdr:rowOff>
                  </from>
                  <to>
                    <xdr:col>6</xdr:col>
                    <xdr:colOff>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28"/>
  <sheetViews>
    <sheetView showGridLines="0" zoomScale="85" zoomScaleNormal="85" workbookViewId="0">
      <pane ySplit="6" topLeftCell="A7" activePane="bottomLeft" state="frozen"/>
      <selection pane="bottomLeft" activeCell="E17" sqref="E17"/>
    </sheetView>
  </sheetViews>
  <sheetFormatPr baseColWidth="10" defaultColWidth="11.44140625" defaultRowHeight="12.3"/>
  <cols>
    <col min="1" max="1" width="3.5546875" style="8" customWidth="1"/>
    <col min="2" max="2" width="46.6640625" style="8" customWidth="1"/>
    <col min="3" max="3" width="46.33203125" style="8" customWidth="1"/>
    <col min="4" max="4" width="14.5546875" style="11" customWidth="1"/>
    <col min="5" max="16" width="9" style="11" customWidth="1"/>
    <col min="17" max="16384" width="11.44140625" style="8"/>
  </cols>
  <sheetData>
    <row r="1" spans="1:17" ht="18" customHeight="1">
      <c r="A1" s="42"/>
      <c r="B1" s="43" t="s">
        <v>26</v>
      </c>
      <c r="D1" s="9" t="s">
        <v>4</v>
      </c>
      <c r="E1" s="10" t="s">
        <v>5</v>
      </c>
      <c r="G1" s="11" t="s">
        <v>6</v>
      </c>
    </row>
    <row r="2" spans="1:17" ht="11.1" customHeight="1">
      <c r="D2" s="12" t="s">
        <v>2</v>
      </c>
      <c r="E2" s="10"/>
      <c r="G2" s="11">
        <v>10</v>
      </c>
    </row>
    <row r="3" spans="1:17" ht="11.1" customHeight="1">
      <c r="D3" s="12" t="s">
        <v>300</v>
      </c>
      <c r="E3" s="10"/>
    </row>
    <row r="4" spans="1:17" ht="11.1" customHeight="1">
      <c r="D4" s="13" t="s">
        <v>3</v>
      </c>
      <c r="E4" s="10"/>
    </row>
    <row r="6" spans="1:17" s="14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15" customFormat="1" ht="38.25" customHeight="1">
      <c r="A7" s="39">
        <v>1</v>
      </c>
      <c r="B7" s="38" t="s">
        <v>236</v>
      </c>
      <c r="C7" s="38" t="s">
        <v>240</v>
      </c>
      <c r="D7" s="39">
        <v>2</v>
      </c>
      <c r="E7" s="41">
        <v>5</v>
      </c>
      <c r="F7" s="41">
        <v>4</v>
      </c>
      <c r="G7" s="41">
        <v>2</v>
      </c>
      <c r="H7" s="41">
        <v>1</v>
      </c>
      <c r="I7" s="41">
        <v>3</v>
      </c>
      <c r="J7" s="41">
        <v>5</v>
      </c>
      <c r="K7" s="41">
        <f>PRODUCT(D7,E7)</f>
        <v>10</v>
      </c>
      <c r="L7" s="41">
        <f>PRODUCT(D7,F7)</f>
        <v>8</v>
      </c>
      <c r="M7" s="41">
        <f>PRODUCT(D7,G7)</f>
        <v>4</v>
      </c>
      <c r="N7" s="41">
        <f>PRODUCT(D7,H7)</f>
        <v>2</v>
      </c>
      <c r="O7" s="41">
        <f>PRODUCT(D7,I7)</f>
        <v>6</v>
      </c>
      <c r="P7" s="41">
        <f>PRODUCT(D7,J7)</f>
        <v>10</v>
      </c>
      <c r="Q7" s="15" t="s">
        <v>199</v>
      </c>
    </row>
    <row r="8" spans="1:17" s="15" customFormat="1" ht="38.25" customHeight="1">
      <c r="A8" s="39">
        <f t="shared" ref="A8:A16" si="0">SUM(A7,1)</f>
        <v>2</v>
      </c>
      <c r="B8" s="38" t="s">
        <v>237</v>
      </c>
      <c r="C8" s="38" t="s">
        <v>91</v>
      </c>
      <c r="D8" s="39">
        <v>3</v>
      </c>
      <c r="E8" s="39">
        <v>5</v>
      </c>
      <c r="F8" s="39">
        <v>3</v>
      </c>
      <c r="G8" s="41">
        <v>0</v>
      </c>
      <c r="H8" s="41">
        <v>0</v>
      </c>
      <c r="I8" s="41">
        <v>0</v>
      </c>
      <c r="J8" s="41">
        <v>5</v>
      </c>
      <c r="K8" s="41">
        <f t="shared" ref="K8:K15" si="1">PRODUCT(D8,E8)</f>
        <v>15</v>
      </c>
      <c r="L8" s="41">
        <f t="shared" ref="L8:L15" si="2">PRODUCT(D8,F8)</f>
        <v>9</v>
      </c>
      <c r="M8" s="41">
        <f t="shared" ref="M8:M15" si="3">PRODUCT(D8,G8)</f>
        <v>0</v>
      </c>
      <c r="N8" s="41">
        <f t="shared" ref="N8:N15" si="4">PRODUCT(D8,H8)</f>
        <v>0</v>
      </c>
      <c r="O8" s="41">
        <f t="shared" ref="O8:O15" si="5">PRODUCT(D8,I8)</f>
        <v>0</v>
      </c>
      <c r="P8" s="41">
        <f t="shared" ref="P8:P15" si="6">PRODUCT(D8,J8)</f>
        <v>15</v>
      </c>
    </row>
    <row r="9" spans="1:17" s="15" customFormat="1" ht="39" customHeight="1">
      <c r="A9" s="39">
        <f t="shared" si="0"/>
        <v>3</v>
      </c>
      <c r="B9" s="38" t="s">
        <v>238</v>
      </c>
      <c r="C9" s="38" t="s">
        <v>92</v>
      </c>
      <c r="D9" s="39">
        <v>3</v>
      </c>
      <c r="E9" s="39">
        <v>3</v>
      </c>
      <c r="F9" s="39">
        <v>2</v>
      </c>
      <c r="G9" s="41">
        <v>5</v>
      </c>
      <c r="H9" s="41">
        <v>4</v>
      </c>
      <c r="I9" s="41">
        <v>5</v>
      </c>
      <c r="J9" s="41">
        <v>2</v>
      </c>
      <c r="K9" s="41">
        <f t="shared" si="1"/>
        <v>9</v>
      </c>
      <c r="L9" s="41">
        <f t="shared" si="2"/>
        <v>6</v>
      </c>
      <c r="M9" s="41">
        <f t="shared" si="3"/>
        <v>15</v>
      </c>
      <c r="N9" s="41">
        <f t="shared" si="4"/>
        <v>12</v>
      </c>
      <c r="O9" s="41">
        <f t="shared" si="5"/>
        <v>15</v>
      </c>
      <c r="P9" s="41">
        <f t="shared" si="6"/>
        <v>6</v>
      </c>
      <c r="Q9" s="15" t="s">
        <v>199</v>
      </c>
    </row>
    <row r="10" spans="1:17" s="15" customFormat="1" ht="38.25" customHeight="1">
      <c r="A10" s="39">
        <f t="shared" si="0"/>
        <v>4</v>
      </c>
      <c r="B10" s="38" t="s">
        <v>239</v>
      </c>
      <c r="C10" s="38" t="s">
        <v>263</v>
      </c>
      <c r="D10" s="39">
        <v>3</v>
      </c>
      <c r="E10" s="39">
        <v>5</v>
      </c>
      <c r="F10" s="39">
        <v>5</v>
      </c>
      <c r="G10" s="41">
        <v>3</v>
      </c>
      <c r="H10" s="41">
        <v>2</v>
      </c>
      <c r="I10" s="41">
        <v>2</v>
      </c>
      <c r="J10" s="41">
        <v>5</v>
      </c>
      <c r="K10" s="41">
        <f t="shared" si="1"/>
        <v>15</v>
      </c>
      <c r="L10" s="41">
        <f t="shared" si="2"/>
        <v>15</v>
      </c>
      <c r="M10" s="41">
        <f t="shared" si="3"/>
        <v>9</v>
      </c>
      <c r="N10" s="41">
        <f t="shared" si="4"/>
        <v>6</v>
      </c>
      <c r="O10" s="41">
        <f t="shared" si="5"/>
        <v>6</v>
      </c>
      <c r="P10" s="41">
        <f t="shared" si="6"/>
        <v>15</v>
      </c>
      <c r="Q10" s="15" t="s">
        <v>199</v>
      </c>
    </row>
    <row r="11" spans="1:17" s="15" customFormat="1" ht="61.5">
      <c r="A11" s="39">
        <f t="shared" si="0"/>
        <v>5</v>
      </c>
      <c r="B11" s="38" t="s">
        <v>241</v>
      </c>
      <c r="C11" s="38" t="s">
        <v>93</v>
      </c>
      <c r="D11" s="39">
        <v>3</v>
      </c>
      <c r="E11" s="39">
        <v>3</v>
      </c>
      <c r="F11" s="39">
        <v>3</v>
      </c>
      <c r="G11" s="41">
        <v>4</v>
      </c>
      <c r="H11" s="41">
        <v>2</v>
      </c>
      <c r="I11" s="41">
        <v>4</v>
      </c>
      <c r="J11" s="41">
        <v>2</v>
      </c>
      <c r="K11" s="41">
        <f t="shared" si="1"/>
        <v>9</v>
      </c>
      <c r="L11" s="41">
        <f t="shared" si="2"/>
        <v>9</v>
      </c>
      <c r="M11" s="41">
        <f t="shared" si="3"/>
        <v>12</v>
      </c>
      <c r="N11" s="41">
        <f t="shared" si="4"/>
        <v>6</v>
      </c>
      <c r="O11" s="41">
        <f t="shared" si="5"/>
        <v>12</v>
      </c>
      <c r="P11" s="41">
        <f t="shared" si="6"/>
        <v>6</v>
      </c>
      <c r="Q11" s="15" t="s">
        <v>199</v>
      </c>
    </row>
    <row r="12" spans="1:17" s="15" customFormat="1" ht="34.5" customHeight="1">
      <c r="A12" s="39">
        <f t="shared" si="0"/>
        <v>6</v>
      </c>
      <c r="B12" s="38" t="s">
        <v>244</v>
      </c>
      <c r="C12" s="38" t="s">
        <v>94</v>
      </c>
      <c r="D12" s="39">
        <v>3</v>
      </c>
      <c r="E12" s="39">
        <v>4</v>
      </c>
      <c r="F12" s="39">
        <v>3</v>
      </c>
      <c r="G12" s="41">
        <v>3</v>
      </c>
      <c r="H12" s="41">
        <v>2</v>
      </c>
      <c r="I12" s="41">
        <v>4</v>
      </c>
      <c r="J12" s="41">
        <v>3</v>
      </c>
      <c r="K12" s="41">
        <f t="shared" si="1"/>
        <v>12</v>
      </c>
      <c r="L12" s="41">
        <f t="shared" si="2"/>
        <v>9</v>
      </c>
      <c r="M12" s="41">
        <f t="shared" si="3"/>
        <v>9</v>
      </c>
      <c r="N12" s="41">
        <f t="shared" si="4"/>
        <v>6</v>
      </c>
      <c r="O12" s="41">
        <f t="shared" si="5"/>
        <v>12</v>
      </c>
      <c r="P12" s="41">
        <f t="shared" si="6"/>
        <v>9</v>
      </c>
      <c r="Q12" s="15" t="s">
        <v>199</v>
      </c>
    </row>
    <row r="13" spans="1:17" s="15" customFormat="1" ht="34.5" customHeight="1">
      <c r="A13" s="39">
        <f t="shared" si="0"/>
        <v>7</v>
      </c>
      <c r="B13" s="38" t="s">
        <v>95</v>
      </c>
      <c r="C13" s="38" t="s">
        <v>95</v>
      </c>
      <c r="D13" s="39">
        <v>3</v>
      </c>
      <c r="E13" s="39">
        <v>4</v>
      </c>
      <c r="F13" s="39">
        <v>2</v>
      </c>
      <c r="G13" s="41">
        <v>3</v>
      </c>
      <c r="H13" s="41">
        <v>3</v>
      </c>
      <c r="I13" s="41">
        <v>4</v>
      </c>
      <c r="J13" s="41">
        <v>4</v>
      </c>
      <c r="K13" s="41">
        <f t="shared" si="1"/>
        <v>12</v>
      </c>
      <c r="L13" s="41">
        <f t="shared" si="2"/>
        <v>6</v>
      </c>
      <c r="M13" s="41">
        <f t="shared" si="3"/>
        <v>9</v>
      </c>
      <c r="N13" s="41">
        <f t="shared" si="4"/>
        <v>9</v>
      </c>
      <c r="O13" s="41">
        <f t="shared" si="5"/>
        <v>12</v>
      </c>
      <c r="P13" s="41">
        <f t="shared" si="6"/>
        <v>12</v>
      </c>
      <c r="Q13" s="15" t="s">
        <v>199</v>
      </c>
    </row>
    <row r="14" spans="1:17" s="15" customFormat="1" ht="34.5" customHeight="1">
      <c r="A14" s="39">
        <f t="shared" si="0"/>
        <v>8</v>
      </c>
      <c r="B14" s="38" t="s">
        <v>243</v>
      </c>
      <c r="C14" s="38" t="s">
        <v>96</v>
      </c>
      <c r="D14" s="39">
        <v>3</v>
      </c>
      <c r="E14" s="39">
        <v>5</v>
      </c>
      <c r="F14" s="39">
        <v>4</v>
      </c>
      <c r="G14" s="41">
        <v>4</v>
      </c>
      <c r="H14" s="41">
        <v>2</v>
      </c>
      <c r="I14" s="41">
        <v>3</v>
      </c>
      <c r="J14" s="41">
        <v>3</v>
      </c>
      <c r="K14" s="41">
        <f t="shared" si="1"/>
        <v>15</v>
      </c>
      <c r="L14" s="41">
        <f t="shared" si="2"/>
        <v>12</v>
      </c>
      <c r="M14" s="41">
        <f t="shared" si="3"/>
        <v>12</v>
      </c>
      <c r="N14" s="41">
        <f t="shared" si="4"/>
        <v>6</v>
      </c>
      <c r="O14" s="41">
        <f t="shared" si="5"/>
        <v>9</v>
      </c>
      <c r="P14" s="41">
        <f t="shared" si="6"/>
        <v>9</v>
      </c>
    </row>
    <row r="15" spans="1:17" s="15" customFormat="1" ht="36.9">
      <c r="A15" s="39">
        <f t="shared" si="0"/>
        <v>9</v>
      </c>
      <c r="B15" s="38" t="s">
        <v>242</v>
      </c>
      <c r="C15" s="38" t="s">
        <v>97</v>
      </c>
      <c r="D15" s="39">
        <v>3</v>
      </c>
      <c r="E15" s="39">
        <v>4</v>
      </c>
      <c r="F15" s="39">
        <v>4</v>
      </c>
      <c r="G15" s="41">
        <v>5</v>
      </c>
      <c r="H15" s="41">
        <v>3</v>
      </c>
      <c r="I15" s="41">
        <v>5</v>
      </c>
      <c r="J15" s="41">
        <v>3</v>
      </c>
      <c r="K15" s="41">
        <f t="shared" si="1"/>
        <v>12</v>
      </c>
      <c r="L15" s="41">
        <f t="shared" si="2"/>
        <v>12</v>
      </c>
      <c r="M15" s="41">
        <f t="shared" si="3"/>
        <v>15</v>
      </c>
      <c r="N15" s="41">
        <f t="shared" si="4"/>
        <v>9</v>
      </c>
      <c r="O15" s="41">
        <f t="shared" si="5"/>
        <v>15</v>
      </c>
      <c r="P15" s="41">
        <f t="shared" si="6"/>
        <v>9</v>
      </c>
      <c r="Q15" s="15" t="s">
        <v>199</v>
      </c>
    </row>
    <row r="16" spans="1:17" s="15" customFormat="1" ht="24.6">
      <c r="A16" s="39">
        <f t="shared" si="0"/>
        <v>10</v>
      </c>
      <c r="B16" s="38" t="s">
        <v>299</v>
      </c>
      <c r="C16" s="38"/>
      <c r="D16" s="39">
        <v>3</v>
      </c>
      <c r="E16" s="39">
        <v>3</v>
      </c>
      <c r="F16" s="39">
        <v>4</v>
      </c>
      <c r="G16" s="41">
        <v>3</v>
      </c>
      <c r="H16" s="41">
        <v>1</v>
      </c>
      <c r="I16" s="41">
        <v>1</v>
      </c>
      <c r="J16" s="41">
        <v>5</v>
      </c>
      <c r="K16" s="41">
        <f t="shared" ref="K16" si="7">PRODUCT(D16,E16)</f>
        <v>9</v>
      </c>
      <c r="L16" s="41">
        <f t="shared" ref="L16" si="8">PRODUCT(D16,F16)</f>
        <v>12</v>
      </c>
      <c r="M16" s="41">
        <f t="shared" ref="M16" si="9">PRODUCT(D16,G16)</f>
        <v>9</v>
      </c>
      <c r="N16" s="41">
        <f t="shared" ref="N16" si="10">PRODUCT(D16,H16)</f>
        <v>3</v>
      </c>
      <c r="O16" s="41">
        <f t="shared" ref="O16" si="11">PRODUCT(D16,I16)</f>
        <v>3</v>
      </c>
      <c r="P16" s="41">
        <f t="shared" ref="P16" si="12">PRODUCT(D16,J16)</f>
        <v>15</v>
      </c>
      <c r="Q16" s="15" t="s">
        <v>199</v>
      </c>
    </row>
    <row r="17" spans="2:16" ht="34.5" customHeight="1">
      <c r="B17" s="17"/>
    </row>
    <row r="18" spans="2:16">
      <c r="B18" s="17"/>
      <c r="D18" s="49" t="s">
        <v>10</v>
      </c>
      <c r="K18" s="49" t="s">
        <v>11</v>
      </c>
      <c r="L18" s="49" t="s">
        <v>11</v>
      </c>
      <c r="M18" s="49" t="s">
        <v>11</v>
      </c>
      <c r="N18" s="49" t="s">
        <v>11</v>
      </c>
      <c r="O18" s="49" t="s">
        <v>11</v>
      </c>
      <c r="P18" s="49" t="s">
        <v>11</v>
      </c>
    </row>
    <row r="19" spans="2:16">
      <c r="B19" s="17"/>
      <c r="D19" s="39">
        <f>SUM(D7:D17) *5</f>
        <v>145</v>
      </c>
      <c r="K19" s="39">
        <f t="shared" ref="K19:P19" si="13">SUM(K7:K17)</f>
        <v>118</v>
      </c>
      <c r="L19" s="39">
        <f t="shared" si="13"/>
        <v>98</v>
      </c>
      <c r="M19" s="39">
        <f t="shared" si="13"/>
        <v>94</v>
      </c>
      <c r="N19" s="39">
        <f t="shared" si="13"/>
        <v>59</v>
      </c>
      <c r="O19" s="39">
        <f t="shared" si="13"/>
        <v>90</v>
      </c>
      <c r="P19" s="39">
        <f t="shared" si="13"/>
        <v>106</v>
      </c>
    </row>
    <row r="20" spans="2:16">
      <c r="B20" s="17"/>
    </row>
    <row r="21" spans="2:16">
      <c r="B21" s="17"/>
      <c r="D21" s="49" t="s">
        <v>12</v>
      </c>
      <c r="K21" s="49" t="s">
        <v>12</v>
      </c>
      <c r="L21" s="49" t="s">
        <v>12</v>
      </c>
      <c r="M21" s="49" t="s">
        <v>12</v>
      </c>
      <c r="N21" s="49" t="s">
        <v>12</v>
      </c>
      <c r="O21" s="49" t="s">
        <v>12</v>
      </c>
      <c r="P21" s="49" t="s">
        <v>12</v>
      </c>
    </row>
    <row r="22" spans="2:16">
      <c r="B22" s="17"/>
      <c r="D22" s="39">
        <f>PRODUCT(D19,1/G2)</f>
        <v>14.5</v>
      </c>
      <c r="K22" s="39">
        <f>PRODUCT(K19,1/G2)</f>
        <v>11.8</v>
      </c>
      <c r="L22" s="39">
        <f>PRODUCT(L19,1/G2)</f>
        <v>9.8000000000000007</v>
      </c>
      <c r="M22" s="39">
        <f>PRODUCT(M19,1/G2)</f>
        <v>9.4</v>
      </c>
      <c r="N22" s="39">
        <f>PRODUCT(N19,1/G2)</f>
        <v>5.9</v>
      </c>
      <c r="O22" s="39">
        <f>PRODUCT(O19,1/G2)</f>
        <v>9</v>
      </c>
      <c r="P22" s="39">
        <f>PRODUCT(P19,1/G2)</f>
        <v>10.600000000000001</v>
      </c>
    </row>
    <row r="23" spans="2:16">
      <c r="B23" s="17"/>
    </row>
    <row r="24" spans="2:16">
      <c r="B24" s="17"/>
    </row>
    <row r="25" spans="2:16">
      <c r="B25" s="17"/>
    </row>
    <row r="26" spans="2:16">
      <c r="B26" s="17"/>
    </row>
    <row r="27" spans="2:16">
      <c r="B27" s="17"/>
    </row>
    <row r="28" spans="2:16">
      <c r="B28" s="17"/>
    </row>
  </sheetData>
  <phoneticPr fontId="4" type="noConversion"/>
  <pageMargins left="0.78740157499999996" right="0.78740157499999996" top="0.984251969" bottom="0.984251969" header="0.4921259845" footer="0.4921259845"/>
  <pageSetup paperSize="9" scale="5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45720</xdr:colOff>
                    <xdr:row>2</xdr:row>
                    <xdr:rowOff>60960</xdr:rowOff>
                  </from>
                  <to>
                    <xdr:col>6</xdr:col>
                    <xdr:colOff>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32"/>
  <sheetViews>
    <sheetView showGridLines="0" zoomScale="85" zoomScaleNormal="85" workbookViewId="0">
      <pane ySplit="6" topLeftCell="A13" activePane="bottomLeft" state="frozen"/>
      <selection pane="bottomLeft" activeCell="B14" sqref="B14"/>
    </sheetView>
  </sheetViews>
  <sheetFormatPr baseColWidth="10" defaultRowHeight="12.3"/>
  <cols>
    <col min="1" max="1" width="3.5546875" customWidth="1"/>
    <col min="2" max="2" width="46.6640625" customWidth="1"/>
    <col min="3" max="3" width="46.33203125" customWidth="1"/>
    <col min="4" max="4" width="14" style="1" bestFit="1" customWidth="1"/>
    <col min="5" max="16" width="9" style="1" customWidth="1"/>
  </cols>
  <sheetData>
    <row r="1" spans="1:17" ht="18" customHeight="1">
      <c r="A1" s="42"/>
      <c r="B1" s="43" t="s">
        <v>15</v>
      </c>
      <c r="C1" s="8"/>
      <c r="D1" s="9" t="s">
        <v>4</v>
      </c>
      <c r="E1" s="10" t="s">
        <v>5</v>
      </c>
      <c r="F1" s="11"/>
      <c r="G1" s="11" t="s">
        <v>6</v>
      </c>
      <c r="H1" s="11"/>
      <c r="I1" s="11"/>
      <c r="J1" s="11"/>
      <c r="K1" s="11"/>
      <c r="L1" s="11"/>
      <c r="M1" s="11"/>
      <c r="N1" s="11"/>
      <c r="O1" s="11"/>
      <c r="P1" s="11"/>
      <c r="Q1" s="8"/>
    </row>
    <row r="2" spans="1:17" ht="11.1" customHeight="1">
      <c r="A2" s="8"/>
      <c r="B2" s="8"/>
      <c r="C2" s="8"/>
      <c r="D2" s="12" t="s">
        <v>2</v>
      </c>
      <c r="E2" s="10"/>
      <c r="F2" s="11"/>
      <c r="G2" s="11">
        <v>12</v>
      </c>
      <c r="H2" s="11"/>
      <c r="I2" s="11"/>
      <c r="J2" s="11"/>
      <c r="K2" s="11"/>
      <c r="L2" s="11"/>
      <c r="M2" s="11"/>
      <c r="N2" s="11"/>
      <c r="O2" s="11"/>
      <c r="P2" s="11"/>
      <c r="Q2" s="8"/>
    </row>
    <row r="3" spans="1:17" ht="11.1" customHeight="1">
      <c r="A3" s="8"/>
      <c r="B3" s="8"/>
      <c r="C3" s="8"/>
      <c r="D3" s="12" t="s">
        <v>300</v>
      </c>
      <c r="E3" s="10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8"/>
    </row>
    <row r="4" spans="1:17" ht="11.1" customHeight="1">
      <c r="A4" s="8"/>
      <c r="B4" s="17"/>
      <c r="C4" s="8"/>
      <c r="D4" s="13" t="s">
        <v>3</v>
      </c>
      <c r="E4" s="10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8"/>
    </row>
    <row r="5" spans="1:17">
      <c r="A5" s="8"/>
      <c r="B5" s="8"/>
      <c r="C5" s="8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8"/>
    </row>
    <row r="6" spans="1:17" s="2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  <c r="Q6" s="14"/>
    </row>
    <row r="7" spans="1:17" s="3" customFormat="1" ht="38.25" customHeight="1">
      <c r="A7" s="34">
        <v>1</v>
      </c>
      <c r="B7" s="38" t="s">
        <v>245</v>
      </c>
      <c r="C7" s="38" t="s">
        <v>246</v>
      </c>
      <c r="D7" s="34">
        <v>2</v>
      </c>
      <c r="E7" s="41">
        <v>4</v>
      </c>
      <c r="F7" s="41">
        <v>2</v>
      </c>
      <c r="G7" s="41">
        <v>4</v>
      </c>
      <c r="H7" s="41">
        <v>4</v>
      </c>
      <c r="I7" s="41">
        <v>4</v>
      </c>
      <c r="J7" s="41">
        <v>3</v>
      </c>
      <c r="K7" s="41">
        <f>PRODUCT(D7,E7)</f>
        <v>8</v>
      </c>
      <c r="L7" s="41">
        <f>PRODUCT(D7,F7)</f>
        <v>4</v>
      </c>
      <c r="M7" s="41">
        <f>PRODUCT(D7,G7)</f>
        <v>8</v>
      </c>
      <c r="N7" s="41">
        <f>PRODUCT(D7,H7)</f>
        <v>8</v>
      </c>
      <c r="O7" s="41">
        <f>PRODUCT(D7,I7)</f>
        <v>8</v>
      </c>
      <c r="P7" s="41">
        <f>PRODUCT(D7,J7)</f>
        <v>6</v>
      </c>
      <c r="Q7" s="15"/>
    </row>
    <row r="8" spans="1:17" s="3" customFormat="1" ht="49.2">
      <c r="A8" s="39">
        <f t="shared" ref="A8:A18" si="0">SUM(A7,1)</f>
        <v>2</v>
      </c>
      <c r="B8" s="38" t="s">
        <v>98</v>
      </c>
      <c r="C8" s="38" t="s">
        <v>98</v>
      </c>
      <c r="D8" s="39">
        <v>1</v>
      </c>
      <c r="E8" s="41">
        <v>4</v>
      </c>
      <c r="F8" s="41">
        <v>2</v>
      </c>
      <c r="G8" s="41">
        <v>3</v>
      </c>
      <c r="H8" s="41">
        <v>3</v>
      </c>
      <c r="I8" s="41">
        <v>3</v>
      </c>
      <c r="J8" s="41">
        <v>3</v>
      </c>
      <c r="K8" s="41">
        <f t="shared" ref="K8:K18" si="1">PRODUCT(D8,E8)</f>
        <v>4</v>
      </c>
      <c r="L8" s="41">
        <f t="shared" ref="L8:L18" si="2">PRODUCT(D8,F8)</f>
        <v>2</v>
      </c>
      <c r="M8" s="41">
        <f t="shared" ref="M8:M18" si="3">PRODUCT(D8,G8)</f>
        <v>3</v>
      </c>
      <c r="N8" s="41">
        <f t="shared" ref="N8:N18" si="4">PRODUCT(D8,H8)</f>
        <v>3</v>
      </c>
      <c r="O8" s="41">
        <f t="shared" ref="O8:O18" si="5">PRODUCT(D8,I8)</f>
        <v>3</v>
      </c>
      <c r="P8" s="41">
        <f t="shared" ref="P8:P18" si="6">PRODUCT(D8,J8)</f>
        <v>3</v>
      </c>
      <c r="Q8" s="15"/>
    </row>
    <row r="9" spans="1:17" s="3" customFormat="1" ht="38.25" customHeight="1">
      <c r="A9" s="39">
        <f t="shared" si="0"/>
        <v>3</v>
      </c>
      <c r="B9" s="38" t="s">
        <v>247</v>
      </c>
      <c r="C9" s="38" t="s">
        <v>264</v>
      </c>
      <c r="D9" s="39">
        <v>1</v>
      </c>
      <c r="E9" s="41">
        <v>4</v>
      </c>
      <c r="F9" s="41">
        <v>2</v>
      </c>
      <c r="G9" s="41">
        <v>4</v>
      </c>
      <c r="H9" s="41">
        <v>1</v>
      </c>
      <c r="I9" s="41">
        <v>4</v>
      </c>
      <c r="J9" s="41">
        <v>4</v>
      </c>
      <c r="K9" s="41">
        <f t="shared" si="1"/>
        <v>4</v>
      </c>
      <c r="L9" s="41">
        <f t="shared" si="2"/>
        <v>2</v>
      </c>
      <c r="M9" s="41">
        <f t="shared" si="3"/>
        <v>4</v>
      </c>
      <c r="N9" s="41">
        <f t="shared" si="4"/>
        <v>1</v>
      </c>
      <c r="O9" s="41">
        <f t="shared" si="5"/>
        <v>4</v>
      </c>
      <c r="P9" s="41">
        <f t="shared" si="6"/>
        <v>4</v>
      </c>
      <c r="Q9" s="15"/>
    </row>
    <row r="10" spans="1:17" s="3" customFormat="1" ht="38.25" customHeight="1">
      <c r="A10" s="39">
        <f t="shared" si="0"/>
        <v>4</v>
      </c>
      <c r="B10" s="38" t="s">
        <v>99</v>
      </c>
      <c r="C10" s="38"/>
      <c r="D10" s="39">
        <v>2</v>
      </c>
      <c r="E10" s="41">
        <v>2</v>
      </c>
      <c r="F10" s="41">
        <v>2</v>
      </c>
      <c r="G10" s="41">
        <v>4</v>
      </c>
      <c r="H10" s="41">
        <v>4</v>
      </c>
      <c r="I10" s="41">
        <v>4</v>
      </c>
      <c r="J10" s="41">
        <v>2</v>
      </c>
      <c r="K10" s="41">
        <f t="shared" si="1"/>
        <v>4</v>
      </c>
      <c r="L10" s="41">
        <f t="shared" si="2"/>
        <v>4</v>
      </c>
      <c r="M10" s="41">
        <f t="shared" si="3"/>
        <v>8</v>
      </c>
      <c r="N10" s="41">
        <f t="shared" si="4"/>
        <v>8</v>
      </c>
      <c r="O10" s="41">
        <f t="shared" si="5"/>
        <v>8</v>
      </c>
      <c r="P10" s="41">
        <f t="shared" si="6"/>
        <v>4</v>
      </c>
      <c r="Q10" s="15"/>
    </row>
    <row r="11" spans="1:17" s="3" customFormat="1" ht="38.25" customHeight="1">
      <c r="A11" s="39">
        <f t="shared" si="0"/>
        <v>5</v>
      </c>
      <c r="B11" s="38" t="s">
        <v>100</v>
      </c>
      <c r="C11" s="38"/>
      <c r="D11" s="39">
        <v>3</v>
      </c>
      <c r="E11" s="41">
        <v>3</v>
      </c>
      <c r="F11" s="41">
        <v>3</v>
      </c>
      <c r="G11" s="41">
        <v>3</v>
      </c>
      <c r="H11" s="41">
        <v>3</v>
      </c>
      <c r="I11" s="41">
        <v>3</v>
      </c>
      <c r="J11" s="41">
        <v>3</v>
      </c>
      <c r="K11" s="41">
        <f t="shared" si="1"/>
        <v>9</v>
      </c>
      <c r="L11" s="41">
        <f t="shared" si="2"/>
        <v>9</v>
      </c>
      <c r="M11" s="41">
        <f t="shared" si="3"/>
        <v>9</v>
      </c>
      <c r="N11" s="41">
        <f t="shared" si="4"/>
        <v>9</v>
      </c>
      <c r="O11" s="41">
        <f t="shared" si="5"/>
        <v>9</v>
      </c>
      <c r="P11" s="41">
        <f t="shared" si="6"/>
        <v>9</v>
      </c>
      <c r="Q11" s="15"/>
    </row>
    <row r="12" spans="1:17" s="3" customFormat="1" ht="38.25" customHeight="1">
      <c r="A12" s="39">
        <f t="shared" si="0"/>
        <v>6</v>
      </c>
      <c r="B12" s="38" t="s">
        <v>101</v>
      </c>
      <c r="C12" s="38"/>
      <c r="D12" s="39">
        <v>2</v>
      </c>
      <c r="E12" s="41">
        <v>0</v>
      </c>
      <c r="F12" s="41">
        <v>0</v>
      </c>
      <c r="G12" s="41">
        <v>3</v>
      </c>
      <c r="H12" s="41">
        <v>3</v>
      </c>
      <c r="I12" s="41">
        <v>0</v>
      </c>
      <c r="J12" s="41">
        <v>0</v>
      </c>
      <c r="K12" s="41">
        <f t="shared" si="1"/>
        <v>0</v>
      </c>
      <c r="L12" s="41">
        <f t="shared" si="2"/>
        <v>0</v>
      </c>
      <c r="M12" s="41">
        <f t="shared" si="3"/>
        <v>6</v>
      </c>
      <c r="N12" s="41">
        <f t="shared" si="4"/>
        <v>6</v>
      </c>
      <c r="O12" s="41">
        <f t="shared" si="5"/>
        <v>0</v>
      </c>
      <c r="P12" s="41">
        <f t="shared" si="6"/>
        <v>0</v>
      </c>
      <c r="Q12" s="15"/>
    </row>
    <row r="13" spans="1:17" s="3" customFormat="1" ht="38.25" customHeight="1">
      <c r="A13" s="39">
        <f t="shared" si="0"/>
        <v>7</v>
      </c>
      <c r="B13" s="38" t="s">
        <v>265</v>
      </c>
      <c r="C13" s="38"/>
      <c r="D13" s="39">
        <v>1</v>
      </c>
      <c r="E13" s="41">
        <v>0</v>
      </c>
      <c r="F13" s="41">
        <v>0</v>
      </c>
      <c r="G13" s="41">
        <v>0</v>
      </c>
      <c r="H13" s="41">
        <v>0</v>
      </c>
      <c r="I13" s="41">
        <v>0</v>
      </c>
      <c r="J13" s="41">
        <v>0</v>
      </c>
      <c r="K13" s="41">
        <f t="shared" si="1"/>
        <v>0</v>
      </c>
      <c r="L13" s="41">
        <f t="shared" si="2"/>
        <v>0</v>
      </c>
      <c r="M13" s="41">
        <f t="shared" si="3"/>
        <v>0</v>
      </c>
      <c r="N13" s="41">
        <f t="shared" si="4"/>
        <v>0</v>
      </c>
      <c r="O13" s="41">
        <f t="shared" si="5"/>
        <v>0</v>
      </c>
      <c r="P13" s="41">
        <f t="shared" si="6"/>
        <v>0</v>
      </c>
      <c r="Q13" s="15"/>
    </row>
    <row r="14" spans="1:17" s="3" customFormat="1" ht="38.25" customHeight="1">
      <c r="A14" s="39">
        <f t="shared" si="0"/>
        <v>8</v>
      </c>
      <c r="B14" s="38" t="s">
        <v>102</v>
      </c>
      <c r="C14" s="38"/>
      <c r="D14" s="39">
        <v>1</v>
      </c>
      <c r="E14" s="41">
        <v>3</v>
      </c>
      <c r="F14" s="41">
        <v>3</v>
      </c>
      <c r="G14" s="41">
        <v>3</v>
      </c>
      <c r="H14" s="41">
        <v>3</v>
      </c>
      <c r="I14" s="41">
        <v>3</v>
      </c>
      <c r="J14" s="41">
        <v>3</v>
      </c>
      <c r="K14" s="41">
        <f t="shared" si="1"/>
        <v>3</v>
      </c>
      <c r="L14" s="41">
        <f t="shared" si="2"/>
        <v>3</v>
      </c>
      <c r="M14" s="41">
        <f t="shared" si="3"/>
        <v>3</v>
      </c>
      <c r="N14" s="41">
        <f t="shared" si="4"/>
        <v>3</v>
      </c>
      <c r="O14" s="41">
        <f t="shared" si="5"/>
        <v>3</v>
      </c>
      <c r="P14" s="41">
        <f t="shared" si="6"/>
        <v>3</v>
      </c>
      <c r="Q14" s="15"/>
    </row>
    <row r="15" spans="1:17" s="3" customFormat="1" ht="38.25" customHeight="1">
      <c r="A15" s="39">
        <f t="shared" si="0"/>
        <v>9</v>
      </c>
      <c r="B15" s="38" t="s">
        <v>103</v>
      </c>
      <c r="C15" s="38"/>
      <c r="D15" s="39">
        <v>1</v>
      </c>
      <c r="E15" s="41">
        <v>3</v>
      </c>
      <c r="F15" s="41">
        <v>3</v>
      </c>
      <c r="G15" s="41">
        <v>3</v>
      </c>
      <c r="H15" s="41">
        <v>3</v>
      </c>
      <c r="I15" s="41">
        <v>3</v>
      </c>
      <c r="J15" s="41">
        <v>3</v>
      </c>
      <c r="K15" s="41">
        <f t="shared" si="1"/>
        <v>3</v>
      </c>
      <c r="L15" s="41">
        <f t="shared" si="2"/>
        <v>3</v>
      </c>
      <c r="M15" s="41">
        <f t="shared" si="3"/>
        <v>3</v>
      </c>
      <c r="N15" s="41">
        <f t="shared" si="4"/>
        <v>3</v>
      </c>
      <c r="O15" s="41">
        <f t="shared" si="5"/>
        <v>3</v>
      </c>
      <c r="P15" s="41">
        <f t="shared" si="6"/>
        <v>3</v>
      </c>
      <c r="Q15" s="15"/>
    </row>
    <row r="16" spans="1:17" s="3" customFormat="1" ht="38.25" customHeight="1">
      <c r="A16" s="39">
        <f t="shared" si="0"/>
        <v>10</v>
      </c>
      <c r="B16" s="38" t="s">
        <v>104</v>
      </c>
      <c r="C16" s="38"/>
      <c r="D16" s="39">
        <v>3</v>
      </c>
      <c r="E16" s="41">
        <v>3</v>
      </c>
      <c r="F16" s="41">
        <v>3</v>
      </c>
      <c r="G16" s="41">
        <v>3</v>
      </c>
      <c r="H16" s="41">
        <v>3</v>
      </c>
      <c r="I16" s="41">
        <v>3</v>
      </c>
      <c r="J16" s="41">
        <v>3</v>
      </c>
      <c r="K16" s="41">
        <f t="shared" si="1"/>
        <v>9</v>
      </c>
      <c r="L16" s="41">
        <f t="shared" si="2"/>
        <v>9</v>
      </c>
      <c r="M16" s="41">
        <f t="shared" si="3"/>
        <v>9</v>
      </c>
      <c r="N16" s="41">
        <f t="shared" si="4"/>
        <v>9</v>
      </c>
      <c r="O16" s="41">
        <f t="shared" si="5"/>
        <v>9</v>
      </c>
      <c r="P16" s="41">
        <f t="shared" si="6"/>
        <v>9</v>
      </c>
      <c r="Q16" s="15"/>
    </row>
    <row r="17" spans="1:17" s="3" customFormat="1" ht="38.25" customHeight="1">
      <c r="A17" s="39">
        <f t="shared" si="0"/>
        <v>11</v>
      </c>
      <c r="B17" s="38" t="s">
        <v>248</v>
      </c>
      <c r="C17" s="38" t="s">
        <v>325</v>
      </c>
      <c r="D17" s="39">
        <v>2</v>
      </c>
      <c r="E17" s="41">
        <v>4</v>
      </c>
      <c r="F17" s="41">
        <v>3</v>
      </c>
      <c r="G17" s="41">
        <v>4</v>
      </c>
      <c r="H17" s="41">
        <v>3</v>
      </c>
      <c r="I17" s="41">
        <v>4</v>
      </c>
      <c r="J17" s="41">
        <v>1</v>
      </c>
      <c r="K17" s="41">
        <f t="shared" si="1"/>
        <v>8</v>
      </c>
      <c r="L17" s="41">
        <f t="shared" si="2"/>
        <v>6</v>
      </c>
      <c r="M17" s="41">
        <f t="shared" si="3"/>
        <v>8</v>
      </c>
      <c r="N17" s="41">
        <f t="shared" si="4"/>
        <v>6</v>
      </c>
      <c r="O17" s="41">
        <f t="shared" si="5"/>
        <v>8</v>
      </c>
      <c r="P17" s="41">
        <f t="shared" si="6"/>
        <v>2</v>
      </c>
      <c r="Q17" s="15"/>
    </row>
    <row r="18" spans="1:17" s="3" customFormat="1" ht="38.25" customHeight="1">
      <c r="A18" s="39">
        <f t="shared" si="0"/>
        <v>12</v>
      </c>
      <c r="B18" s="38" t="s">
        <v>105</v>
      </c>
      <c r="C18" s="38"/>
      <c r="D18" s="39">
        <v>2</v>
      </c>
      <c r="E18" s="41">
        <v>4</v>
      </c>
      <c r="F18" s="41">
        <v>3</v>
      </c>
      <c r="G18" s="41">
        <v>2</v>
      </c>
      <c r="H18" s="41">
        <v>2</v>
      </c>
      <c r="I18" s="41">
        <v>5</v>
      </c>
      <c r="J18" s="41">
        <v>3</v>
      </c>
      <c r="K18" s="41">
        <f t="shared" si="1"/>
        <v>8</v>
      </c>
      <c r="L18" s="41">
        <f t="shared" si="2"/>
        <v>6</v>
      </c>
      <c r="M18" s="41">
        <f t="shared" si="3"/>
        <v>4</v>
      </c>
      <c r="N18" s="41">
        <f t="shared" si="4"/>
        <v>4</v>
      </c>
      <c r="O18" s="41">
        <f t="shared" si="5"/>
        <v>10</v>
      </c>
      <c r="P18" s="41">
        <f t="shared" si="6"/>
        <v>6</v>
      </c>
      <c r="Q18" s="15"/>
    </row>
    <row r="19" spans="1:17">
      <c r="A19" s="8"/>
      <c r="B19" s="8"/>
      <c r="C19" s="8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8"/>
    </row>
    <row r="20" spans="1:17">
      <c r="A20" s="8"/>
      <c r="B20" s="8"/>
      <c r="C20" s="8"/>
      <c r="D20" s="49" t="s">
        <v>10</v>
      </c>
      <c r="E20" s="11"/>
      <c r="F20" s="11"/>
      <c r="G20" s="11"/>
      <c r="H20" s="11"/>
      <c r="I20" s="11"/>
      <c r="J20" s="11"/>
      <c r="K20" s="49" t="s">
        <v>11</v>
      </c>
      <c r="L20" s="49" t="s">
        <v>11</v>
      </c>
      <c r="M20" s="49" t="s">
        <v>11</v>
      </c>
      <c r="N20" s="49" t="s">
        <v>11</v>
      </c>
      <c r="O20" s="49" t="s">
        <v>11</v>
      </c>
      <c r="P20" s="49" t="s">
        <v>11</v>
      </c>
      <c r="Q20" s="8"/>
    </row>
    <row r="21" spans="1:17">
      <c r="A21" s="8"/>
      <c r="B21" s="8"/>
      <c r="C21" s="8"/>
      <c r="D21" s="39">
        <f>SUM(D7:D19) *5</f>
        <v>105</v>
      </c>
      <c r="E21" s="11"/>
      <c r="F21" s="11"/>
      <c r="G21" s="11"/>
      <c r="H21" s="11"/>
      <c r="I21" s="11"/>
      <c r="J21" s="11"/>
      <c r="K21" s="39">
        <f t="shared" ref="K21:P21" si="7">SUM(K7:K19)</f>
        <v>60</v>
      </c>
      <c r="L21" s="39">
        <f t="shared" si="7"/>
        <v>48</v>
      </c>
      <c r="M21" s="39">
        <f t="shared" si="7"/>
        <v>65</v>
      </c>
      <c r="N21" s="39">
        <f t="shared" si="7"/>
        <v>60</v>
      </c>
      <c r="O21" s="39">
        <f t="shared" si="7"/>
        <v>65</v>
      </c>
      <c r="P21" s="39">
        <f t="shared" si="7"/>
        <v>49</v>
      </c>
      <c r="Q21" s="8"/>
    </row>
    <row r="22" spans="1:17">
      <c r="A22" s="8"/>
      <c r="B22" s="8"/>
      <c r="C22" s="8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8"/>
    </row>
    <row r="23" spans="1:17">
      <c r="A23" s="8"/>
      <c r="B23" s="8"/>
      <c r="C23" s="8"/>
      <c r="D23" s="49" t="s">
        <v>12</v>
      </c>
      <c r="E23" s="11"/>
      <c r="F23" s="11"/>
      <c r="G23" s="11"/>
      <c r="H23" s="11"/>
      <c r="I23" s="11"/>
      <c r="J23" s="11"/>
      <c r="K23" s="49" t="s">
        <v>12</v>
      </c>
      <c r="L23" s="49" t="s">
        <v>12</v>
      </c>
      <c r="M23" s="49" t="s">
        <v>12</v>
      </c>
      <c r="N23" s="49" t="s">
        <v>12</v>
      </c>
      <c r="O23" s="49" t="s">
        <v>12</v>
      </c>
      <c r="P23" s="49" t="s">
        <v>12</v>
      </c>
      <c r="Q23" s="8"/>
    </row>
    <row r="24" spans="1:17">
      <c r="A24" s="8"/>
      <c r="B24" s="8"/>
      <c r="C24" s="8"/>
      <c r="D24" s="39">
        <f>PRODUCT(D21,1/G2)</f>
        <v>8.75</v>
      </c>
      <c r="E24" s="11"/>
      <c r="F24" s="11"/>
      <c r="G24" s="11"/>
      <c r="H24" s="11"/>
      <c r="I24" s="11"/>
      <c r="J24" s="11"/>
      <c r="K24" s="39">
        <f>PRODUCT(K21,1/G2)</f>
        <v>5</v>
      </c>
      <c r="L24" s="39">
        <f>PRODUCT(L21,1/G2)</f>
        <v>4</v>
      </c>
      <c r="M24" s="39">
        <f>PRODUCT(M21,1/G2)</f>
        <v>5.4166666666666661</v>
      </c>
      <c r="N24" s="39">
        <f>PRODUCT(N21,1/G2)</f>
        <v>5</v>
      </c>
      <c r="O24" s="39">
        <f>PRODUCT(O21,1/G2)</f>
        <v>5.4166666666666661</v>
      </c>
      <c r="P24" s="39">
        <f>PRODUCT(P21,1/G2)</f>
        <v>4.083333333333333</v>
      </c>
      <c r="Q24" s="8"/>
    </row>
    <row r="25" spans="1:17">
      <c r="A25" s="8"/>
      <c r="B25" s="8"/>
      <c r="C25" s="8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8"/>
    </row>
    <row r="26" spans="1:17">
      <c r="A26" s="8"/>
      <c r="B26" s="8"/>
      <c r="C26" s="8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8"/>
    </row>
    <row r="32" spans="1:17">
      <c r="B32" s="6"/>
    </row>
  </sheetData>
  <phoneticPr fontId="4" type="noConversion"/>
  <pageMargins left="0.78740157499999996" right="0.78740157499999996" top="0.984251969" bottom="0.984251969" header="0.4921259845" footer="0.4921259845"/>
  <pageSetup paperSize="9" scale="8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22860</xdr:colOff>
                    <xdr:row>2</xdr:row>
                    <xdr:rowOff>60960</xdr:rowOff>
                  </from>
                  <to>
                    <xdr:col>5</xdr:col>
                    <xdr:colOff>411480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32"/>
  <sheetViews>
    <sheetView showGridLines="0" zoomScale="85" zoomScaleNormal="85" workbookViewId="0">
      <pane ySplit="6" topLeftCell="A7" activePane="bottomLeft" state="frozen"/>
      <selection pane="bottomLeft" activeCell="A12" sqref="A12:XFD12"/>
    </sheetView>
  </sheetViews>
  <sheetFormatPr baseColWidth="10" defaultColWidth="11.44140625" defaultRowHeight="12.3"/>
  <cols>
    <col min="1" max="1" width="3.5546875" style="8" customWidth="1"/>
    <col min="2" max="2" width="46.6640625" style="8" customWidth="1"/>
    <col min="3" max="3" width="45.33203125" style="8" customWidth="1"/>
    <col min="4" max="4" width="15.5546875" style="11" customWidth="1"/>
    <col min="5" max="16" width="9" style="11" customWidth="1"/>
    <col min="17" max="16384" width="11.44140625" style="8"/>
  </cols>
  <sheetData>
    <row r="1" spans="1:17" ht="18" customHeight="1">
      <c r="A1" s="42"/>
      <c r="B1" s="43" t="s">
        <v>16</v>
      </c>
      <c r="D1" s="9" t="s">
        <v>4</v>
      </c>
      <c r="E1" s="10" t="s">
        <v>5</v>
      </c>
      <c r="G1" s="11" t="s">
        <v>6</v>
      </c>
    </row>
    <row r="2" spans="1:17" ht="11.1" customHeight="1">
      <c r="D2" s="12" t="s">
        <v>2</v>
      </c>
      <c r="E2" s="10"/>
      <c r="G2" s="11">
        <v>10</v>
      </c>
    </row>
    <row r="3" spans="1:17" ht="11.1" customHeight="1">
      <c r="D3" s="12" t="s">
        <v>300</v>
      </c>
      <c r="E3" s="10"/>
    </row>
    <row r="4" spans="1:17" ht="11.1" customHeight="1">
      <c r="B4" s="17"/>
      <c r="D4" s="13" t="s">
        <v>3</v>
      </c>
      <c r="E4" s="10"/>
    </row>
    <row r="6" spans="1:17" s="14" customFormat="1">
      <c r="A6" s="44" t="s">
        <v>7</v>
      </c>
      <c r="B6" s="44" t="s">
        <v>8</v>
      </c>
      <c r="C6" s="44" t="s">
        <v>9</v>
      </c>
      <c r="D6" s="45" t="s">
        <v>1</v>
      </c>
      <c r="E6" s="45" t="s">
        <v>266</v>
      </c>
      <c r="F6" s="45" t="s">
        <v>271</v>
      </c>
      <c r="G6" s="45" t="s">
        <v>269</v>
      </c>
      <c r="H6" s="45" t="s">
        <v>268</v>
      </c>
      <c r="I6" s="45" t="s">
        <v>267</v>
      </c>
      <c r="J6" s="45" t="s">
        <v>270</v>
      </c>
      <c r="K6" s="45" t="s">
        <v>272</v>
      </c>
      <c r="L6" s="45" t="s">
        <v>273</v>
      </c>
      <c r="M6" s="45" t="s">
        <v>274</v>
      </c>
      <c r="N6" s="45" t="s">
        <v>275</v>
      </c>
      <c r="O6" s="45" t="s">
        <v>276</v>
      </c>
      <c r="P6" s="45" t="s">
        <v>277</v>
      </c>
    </row>
    <row r="7" spans="1:17" s="15" customFormat="1" ht="38.25" customHeight="1">
      <c r="A7" s="35">
        <v>1</v>
      </c>
      <c r="B7" s="38" t="s">
        <v>249</v>
      </c>
      <c r="C7" s="38"/>
      <c r="D7" s="35">
        <v>2</v>
      </c>
      <c r="E7" s="41">
        <v>4</v>
      </c>
      <c r="F7" s="41">
        <v>3</v>
      </c>
      <c r="G7" s="41">
        <v>4</v>
      </c>
      <c r="H7" s="41">
        <v>4</v>
      </c>
      <c r="I7" s="41">
        <v>4</v>
      </c>
      <c r="J7" s="41">
        <v>3</v>
      </c>
      <c r="K7" s="41">
        <f>PRODUCT(D7,E7)</f>
        <v>8</v>
      </c>
      <c r="L7" s="41">
        <f>PRODUCT(D7,F7)</f>
        <v>6</v>
      </c>
      <c r="M7" s="41">
        <f>PRODUCT(D7,G7)</f>
        <v>8</v>
      </c>
      <c r="N7" s="41">
        <f>PRODUCT(D7,H7)</f>
        <v>8</v>
      </c>
      <c r="O7" s="41">
        <f>PRODUCT(D7,I7)</f>
        <v>8</v>
      </c>
      <c r="P7" s="41">
        <f>PRODUCT(D7,J7)</f>
        <v>6</v>
      </c>
      <c r="Q7" s="15" t="s">
        <v>199</v>
      </c>
    </row>
    <row r="8" spans="1:17" s="15" customFormat="1" ht="38.25" customHeight="1">
      <c r="A8" s="35">
        <f t="shared" ref="A8:A14" si="0">SUM(A7,1)</f>
        <v>2</v>
      </c>
      <c r="B8" s="38" t="s">
        <v>106</v>
      </c>
      <c r="C8" s="38"/>
      <c r="D8" s="35">
        <v>2</v>
      </c>
      <c r="E8" s="41">
        <v>4</v>
      </c>
      <c r="F8" s="41">
        <v>2</v>
      </c>
      <c r="G8" s="41">
        <v>4</v>
      </c>
      <c r="H8" s="41">
        <v>4</v>
      </c>
      <c r="I8" s="41">
        <v>4</v>
      </c>
      <c r="J8" s="41">
        <v>2</v>
      </c>
      <c r="K8" s="41">
        <f t="shared" ref="K8:K16" si="1">PRODUCT(D8,E8)</f>
        <v>8</v>
      </c>
      <c r="L8" s="41">
        <f t="shared" ref="L8:L16" si="2">PRODUCT(D8,F8)</f>
        <v>4</v>
      </c>
      <c r="M8" s="41">
        <f t="shared" ref="M8:M16" si="3">PRODUCT(D8,G8)</f>
        <v>8</v>
      </c>
      <c r="N8" s="41">
        <f t="shared" ref="N8:N16" si="4">PRODUCT(D8,H8)</f>
        <v>8</v>
      </c>
      <c r="O8" s="41">
        <f t="shared" ref="O8:O16" si="5">PRODUCT(D8,I8)</f>
        <v>8</v>
      </c>
      <c r="P8" s="41">
        <f t="shared" ref="P8:P16" si="6">PRODUCT(D8,J8)</f>
        <v>4</v>
      </c>
      <c r="Q8" s="15" t="s">
        <v>199</v>
      </c>
    </row>
    <row r="9" spans="1:17" s="15" customFormat="1" ht="36.9">
      <c r="A9" s="39">
        <f t="shared" si="0"/>
        <v>3</v>
      </c>
      <c r="B9" s="38" t="s">
        <v>107</v>
      </c>
      <c r="C9" s="38"/>
      <c r="D9" s="39">
        <v>1</v>
      </c>
      <c r="E9" s="41">
        <v>1</v>
      </c>
      <c r="F9" s="41">
        <v>1</v>
      </c>
      <c r="G9" s="41">
        <v>3</v>
      </c>
      <c r="H9" s="41">
        <v>4</v>
      </c>
      <c r="I9" s="41">
        <v>3</v>
      </c>
      <c r="J9" s="41">
        <v>1</v>
      </c>
      <c r="K9" s="41">
        <f t="shared" si="1"/>
        <v>1</v>
      </c>
      <c r="L9" s="41">
        <f t="shared" si="2"/>
        <v>1</v>
      </c>
      <c r="M9" s="41">
        <f t="shared" si="3"/>
        <v>3</v>
      </c>
      <c r="N9" s="41">
        <f t="shared" si="4"/>
        <v>4</v>
      </c>
      <c r="O9" s="41">
        <f t="shared" si="5"/>
        <v>3</v>
      </c>
      <c r="P9" s="41">
        <f t="shared" si="6"/>
        <v>1</v>
      </c>
      <c r="Q9" s="15" t="s">
        <v>199</v>
      </c>
    </row>
    <row r="10" spans="1:17" s="15" customFormat="1" ht="38.25" customHeight="1">
      <c r="A10" s="39">
        <f t="shared" si="0"/>
        <v>4</v>
      </c>
      <c r="B10" s="38" t="s">
        <v>108</v>
      </c>
      <c r="C10" s="38"/>
      <c r="D10" s="39">
        <v>2</v>
      </c>
      <c r="E10" s="41">
        <v>5</v>
      </c>
      <c r="F10" s="41">
        <v>5</v>
      </c>
      <c r="G10" s="41">
        <v>5</v>
      </c>
      <c r="H10" s="41">
        <v>5</v>
      </c>
      <c r="I10" s="41">
        <v>5</v>
      </c>
      <c r="J10" s="41">
        <v>5</v>
      </c>
      <c r="K10" s="41">
        <f t="shared" si="1"/>
        <v>10</v>
      </c>
      <c r="L10" s="41">
        <f t="shared" si="2"/>
        <v>10</v>
      </c>
      <c r="M10" s="41">
        <f t="shared" si="3"/>
        <v>10</v>
      </c>
      <c r="N10" s="41">
        <f t="shared" si="4"/>
        <v>10</v>
      </c>
      <c r="O10" s="41">
        <f t="shared" si="5"/>
        <v>10</v>
      </c>
      <c r="P10" s="41">
        <f t="shared" si="6"/>
        <v>10</v>
      </c>
      <c r="Q10" s="15" t="s">
        <v>199</v>
      </c>
    </row>
    <row r="11" spans="1:17" s="15" customFormat="1" ht="38.25" customHeight="1">
      <c r="A11" s="39">
        <f t="shared" si="0"/>
        <v>5</v>
      </c>
      <c r="B11" s="38" t="s">
        <v>109</v>
      </c>
      <c r="C11" s="38"/>
      <c r="D11" s="39">
        <v>2</v>
      </c>
      <c r="E11" s="41">
        <v>5</v>
      </c>
      <c r="F11" s="41">
        <v>4</v>
      </c>
      <c r="G11" s="41">
        <v>5</v>
      </c>
      <c r="H11" s="41">
        <v>5</v>
      </c>
      <c r="I11" s="41">
        <v>5</v>
      </c>
      <c r="J11" s="41">
        <v>5</v>
      </c>
      <c r="K11" s="41">
        <f t="shared" si="1"/>
        <v>10</v>
      </c>
      <c r="L11" s="41">
        <f t="shared" si="2"/>
        <v>8</v>
      </c>
      <c r="M11" s="41">
        <f t="shared" si="3"/>
        <v>10</v>
      </c>
      <c r="N11" s="41">
        <f t="shared" si="4"/>
        <v>10</v>
      </c>
      <c r="O11" s="41">
        <f t="shared" si="5"/>
        <v>10</v>
      </c>
      <c r="P11" s="41">
        <f t="shared" si="6"/>
        <v>10</v>
      </c>
      <c r="Q11" s="15" t="s">
        <v>199</v>
      </c>
    </row>
    <row r="12" spans="1:17" s="15" customFormat="1" ht="38.25" customHeight="1">
      <c r="A12" s="39">
        <f t="shared" si="0"/>
        <v>6</v>
      </c>
      <c r="B12" s="38" t="s">
        <v>110</v>
      </c>
      <c r="C12" s="38"/>
      <c r="D12" s="39">
        <v>3</v>
      </c>
      <c r="E12" s="41">
        <v>3</v>
      </c>
      <c r="F12" s="41">
        <v>3</v>
      </c>
      <c r="G12" s="41">
        <v>3</v>
      </c>
      <c r="H12" s="41">
        <v>3</v>
      </c>
      <c r="I12" s="41">
        <v>3</v>
      </c>
      <c r="J12" s="41">
        <v>3</v>
      </c>
      <c r="K12" s="41">
        <f t="shared" si="1"/>
        <v>9</v>
      </c>
      <c r="L12" s="41">
        <f t="shared" si="2"/>
        <v>9</v>
      </c>
      <c r="M12" s="41">
        <f t="shared" si="3"/>
        <v>9</v>
      </c>
      <c r="N12" s="41">
        <f t="shared" si="4"/>
        <v>9</v>
      </c>
      <c r="O12" s="41">
        <f t="shared" si="5"/>
        <v>9</v>
      </c>
      <c r="P12" s="41">
        <f t="shared" si="6"/>
        <v>9</v>
      </c>
      <c r="Q12" s="15" t="s">
        <v>199</v>
      </c>
    </row>
    <row r="13" spans="1:17" s="15" customFormat="1" ht="38.25" customHeight="1">
      <c r="A13" s="39">
        <f t="shared" si="0"/>
        <v>7</v>
      </c>
      <c r="B13" s="38" t="s">
        <v>111</v>
      </c>
      <c r="C13" s="38"/>
      <c r="D13" s="39">
        <v>2</v>
      </c>
      <c r="E13" s="41">
        <v>3</v>
      </c>
      <c r="F13" s="41">
        <v>3</v>
      </c>
      <c r="G13" s="41">
        <v>3</v>
      </c>
      <c r="H13" s="41">
        <v>3</v>
      </c>
      <c r="I13" s="41">
        <v>3</v>
      </c>
      <c r="J13" s="41">
        <v>2</v>
      </c>
      <c r="K13" s="41">
        <f t="shared" si="1"/>
        <v>6</v>
      </c>
      <c r="L13" s="41">
        <f t="shared" si="2"/>
        <v>6</v>
      </c>
      <c r="M13" s="41">
        <f t="shared" si="3"/>
        <v>6</v>
      </c>
      <c r="N13" s="41">
        <f t="shared" si="4"/>
        <v>6</v>
      </c>
      <c r="O13" s="41">
        <f t="shared" si="5"/>
        <v>6</v>
      </c>
      <c r="P13" s="41">
        <f t="shared" si="6"/>
        <v>4</v>
      </c>
      <c r="Q13" s="15" t="s">
        <v>199</v>
      </c>
    </row>
    <row r="14" spans="1:17" s="15" customFormat="1" ht="38.25" customHeight="1">
      <c r="A14" s="39">
        <f t="shared" si="0"/>
        <v>8</v>
      </c>
      <c r="B14" s="38" t="s">
        <v>112</v>
      </c>
      <c r="C14" s="38"/>
      <c r="D14" s="39">
        <v>2</v>
      </c>
      <c r="E14" s="41">
        <v>3</v>
      </c>
      <c r="F14" s="41">
        <v>3</v>
      </c>
      <c r="G14" s="41">
        <v>3</v>
      </c>
      <c r="H14" s="41">
        <v>3</v>
      </c>
      <c r="I14" s="41">
        <v>3</v>
      </c>
      <c r="J14" s="41">
        <v>1</v>
      </c>
      <c r="K14" s="41">
        <f t="shared" si="1"/>
        <v>6</v>
      </c>
      <c r="L14" s="41">
        <f t="shared" si="2"/>
        <v>6</v>
      </c>
      <c r="M14" s="41">
        <f t="shared" si="3"/>
        <v>6</v>
      </c>
      <c r="N14" s="41">
        <f t="shared" si="4"/>
        <v>6</v>
      </c>
      <c r="O14" s="41">
        <f t="shared" si="5"/>
        <v>6</v>
      </c>
      <c r="P14" s="41">
        <f t="shared" si="6"/>
        <v>2</v>
      </c>
      <c r="Q14" s="15" t="s">
        <v>199</v>
      </c>
    </row>
    <row r="15" spans="1:17" s="15" customFormat="1" ht="38.25" customHeight="1">
      <c r="A15" s="39">
        <f>SUM(A14,1)</f>
        <v>9</v>
      </c>
      <c r="B15" s="38" t="s">
        <v>113</v>
      </c>
      <c r="C15" s="38"/>
      <c r="D15" s="39">
        <v>2</v>
      </c>
      <c r="E15" s="41">
        <v>3</v>
      </c>
      <c r="F15" s="41">
        <v>1</v>
      </c>
      <c r="G15" s="41">
        <v>4</v>
      </c>
      <c r="H15" s="41">
        <v>4</v>
      </c>
      <c r="I15" s="41">
        <v>4</v>
      </c>
      <c r="J15" s="41">
        <v>2</v>
      </c>
      <c r="K15" s="41">
        <f t="shared" si="1"/>
        <v>6</v>
      </c>
      <c r="L15" s="41">
        <f t="shared" si="2"/>
        <v>2</v>
      </c>
      <c r="M15" s="41">
        <f t="shared" si="3"/>
        <v>8</v>
      </c>
      <c r="N15" s="41">
        <f t="shared" si="4"/>
        <v>8</v>
      </c>
      <c r="O15" s="41">
        <f t="shared" si="5"/>
        <v>8</v>
      </c>
      <c r="P15" s="41">
        <f t="shared" si="6"/>
        <v>4</v>
      </c>
      <c r="Q15" s="15" t="s">
        <v>199</v>
      </c>
    </row>
    <row r="16" spans="1:17" s="15" customFormat="1" ht="38.25" customHeight="1">
      <c r="A16" s="39">
        <f>SUM(A15,1)</f>
        <v>10</v>
      </c>
      <c r="B16" s="38" t="s">
        <v>114</v>
      </c>
      <c r="C16" s="38"/>
      <c r="D16" s="39">
        <v>2</v>
      </c>
      <c r="E16" s="41">
        <v>3</v>
      </c>
      <c r="F16" s="41">
        <v>1</v>
      </c>
      <c r="G16" s="41">
        <v>4</v>
      </c>
      <c r="H16" s="41">
        <v>4</v>
      </c>
      <c r="I16" s="41">
        <v>4</v>
      </c>
      <c r="J16" s="41">
        <v>3</v>
      </c>
      <c r="K16" s="41">
        <f t="shared" si="1"/>
        <v>6</v>
      </c>
      <c r="L16" s="41">
        <f t="shared" si="2"/>
        <v>2</v>
      </c>
      <c r="M16" s="41">
        <f t="shared" si="3"/>
        <v>8</v>
      </c>
      <c r="N16" s="41">
        <f t="shared" si="4"/>
        <v>8</v>
      </c>
      <c r="O16" s="41">
        <f t="shared" si="5"/>
        <v>8</v>
      </c>
      <c r="P16" s="41">
        <f t="shared" si="6"/>
        <v>6</v>
      </c>
      <c r="Q16" s="15" t="s">
        <v>199</v>
      </c>
    </row>
    <row r="18" spans="2:16">
      <c r="D18" s="49" t="s">
        <v>10</v>
      </c>
      <c r="K18" s="49" t="s">
        <v>11</v>
      </c>
      <c r="L18" s="49" t="s">
        <v>11</v>
      </c>
      <c r="M18" s="49" t="s">
        <v>11</v>
      </c>
      <c r="N18" s="49" t="s">
        <v>11</v>
      </c>
      <c r="O18" s="49" t="s">
        <v>11</v>
      </c>
      <c r="P18" s="49" t="s">
        <v>11</v>
      </c>
    </row>
    <row r="19" spans="2:16">
      <c r="D19" s="39">
        <f>SUM(D7:D17) *5</f>
        <v>100</v>
      </c>
      <c r="K19" s="39">
        <f t="shared" ref="K19:P19" si="7">SUM(K7:K17)</f>
        <v>70</v>
      </c>
      <c r="L19" s="39">
        <f t="shared" si="7"/>
        <v>54</v>
      </c>
      <c r="M19" s="39">
        <f t="shared" si="7"/>
        <v>76</v>
      </c>
      <c r="N19" s="39">
        <f t="shared" si="7"/>
        <v>77</v>
      </c>
      <c r="O19" s="39">
        <f t="shared" si="7"/>
        <v>76</v>
      </c>
      <c r="P19" s="39">
        <f t="shared" si="7"/>
        <v>56</v>
      </c>
    </row>
    <row r="21" spans="2:16">
      <c r="D21" s="49" t="s">
        <v>12</v>
      </c>
      <c r="K21" s="49" t="s">
        <v>12</v>
      </c>
      <c r="L21" s="49" t="s">
        <v>12</v>
      </c>
      <c r="M21" s="49" t="s">
        <v>12</v>
      </c>
      <c r="N21" s="49" t="s">
        <v>12</v>
      </c>
      <c r="O21" s="49" t="s">
        <v>12</v>
      </c>
      <c r="P21" s="49" t="s">
        <v>12</v>
      </c>
    </row>
    <row r="22" spans="2:16">
      <c r="D22" s="39">
        <f>PRODUCT(D19,1/G2)</f>
        <v>10</v>
      </c>
      <c r="K22" s="39">
        <f>PRODUCT(K19,1/G2)</f>
        <v>7</v>
      </c>
      <c r="L22" s="39">
        <f>PRODUCT(L19,1/G2)</f>
        <v>5.4</v>
      </c>
      <c r="M22" s="39">
        <f>PRODUCT(M19,1/G2)</f>
        <v>7.6000000000000005</v>
      </c>
      <c r="N22" s="39">
        <f>PRODUCT(N19,1/G2)</f>
        <v>7.7</v>
      </c>
      <c r="O22" s="39">
        <f>PRODUCT(O19,1/G2)</f>
        <v>7.6000000000000005</v>
      </c>
      <c r="P22" s="39">
        <f>PRODUCT(P19,1/G2)</f>
        <v>5.6000000000000005</v>
      </c>
    </row>
    <row r="32" spans="2:16">
      <c r="B32" s="16"/>
    </row>
  </sheetData>
  <phoneticPr fontId="4" type="noConversion"/>
  <pageMargins left="0.78740157499999996" right="0.78740157499999996" top="0.984251969" bottom="0.984251969" header="0.4921259845" footer="0.4921259845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Line="0" autoPict="0" macro="[0]!Bouton1QuestionDePlus_QuandClic">
                <anchor moveWithCells="1" sizeWithCells="1">
                  <from>
                    <xdr:col>4</xdr:col>
                    <xdr:colOff>22860</xdr:colOff>
                    <xdr:row>2</xdr:row>
                    <xdr:rowOff>60960</xdr:rowOff>
                  </from>
                  <to>
                    <xdr:col>5</xdr:col>
                    <xdr:colOff>411480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1"/>
  <sheetViews>
    <sheetView topLeftCell="A43" zoomScale="115" zoomScaleNormal="115" workbookViewId="0">
      <selection activeCell="A71" sqref="A71"/>
    </sheetView>
  </sheetViews>
  <sheetFormatPr baseColWidth="10" defaultRowHeight="12.3"/>
  <cols>
    <col min="2" max="7" width="14.5546875" bestFit="1" customWidth="1"/>
    <col min="8" max="8" width="23.33203125" style="7" bestFit="1" customWidth="1"/>
    <col min="9" max="9" width="10.33203125" style="7" customWidth="1"/>
    <col min="10" max="10" width="10.109375" style="7" bestFit="1" customWidth="1"/>
    <col min="11" max="11" width="10" style="7" bestFit="1" customWidth="1"/>
    <col min="12" max="12" width="10.5546875" style="7" customWidth="1"/>
    <col min="13" max="13" width="13.6640625" style="7" bestFit="1" customWidth="1"/>
    <col min="14" max="14" width="11.44140625" style="2"/>
    <col min="15" max="15" width="11.44140625" style="5"/>
    <col min="16" max="16" width="11.5546875" bestFit="1" customWidth="1"/>
    <col min="17" max="17" width="19.88671875" bestFit="1" customWidth="1"/>
    <col min="19" max="19" width="14.44140625" bestFit="1" customWidth="1"/>
  </cols>
  <sheetData>
    <row r="1" spans="1:25" ht="12.6" thickBot="1">
      <c r="B1" s="46" t="s">
        <v>279</v>
      </c>
      <c r="C1" s="46" t="s">
        <v>278</v>
      </c>
      <c r="D1" s="46" t="s">
        <v>280</v>
      </c>
      <c r="E1" s="46" t="s">
        <v>281</v>
      </c>
      <c r="F1" s="46" t="s">
        <v>282</v>
      </c>
      <c r="G1" s="46" t="s">
        <v>283</v>
      </c>
      <c r="H1" s="47" t="s">
        <v>17</v>
      </c>
      <c r="I1" s="47" t="s">
        <v>284</v>
      </c>
      <c r="J1" s="47" t="s">
        <v>285</v>
      </c>
      <c r="K1" s="47" t="s">
        <v>286</v>
      </c>
      <c r="L1" s="47" t="s">
        <v>287</v>
      </c>
      <c r="M1" s="47" t="s">
        <v>288</v>
      </c>
      <c r="N1" s="47" t="s">
        <v>289</v>
      </c>
      <c r="O1" s="48" t="s">
        <v>10</v>
      </c>
      <c r="P1" s="4"/>
      <c r="Q1" s="52" t="s">
        <v>290</v>
      </c>
      <c r="S1" s="47" t="s">
        <v>23</v>
      </c>
      <c r="T1" s="48" t="s">
        <v>291</v>
      </c>
      <c r="U1" s="48" t="s">
        <v>292</v>
      </c>
      <c r="V1" s="48" t="s">
        <v>293</v>
      </c>
      <c r="W1" s="48" t="s">
        <v>294</v>
      </c>
      <c r="X1" s="48" t="s">
        <v>295</v>
      </c>
      <c r="Y1" s="48" t="s">
        <v>296</v>
      </c>
    </row>
    <row r="2" spans="1:25">
      <c r="B2" s="18">
        <f>(Synthèse!I2*20)/Synthèse!O2</f>
        <v>14.857142857142858</v>
      </c>
      <c r="C2" s="18">
        <f>(Synthèse!J2*20)/Synthèse!O2</f>
        <v>16.342857142857142</v>
      </c>
      <c r="D2" s="18">
        <f>(Synthèse!K2*20)/Synthèse!O2</f>
        <v>16.571428571428573</v>
      </c>
      <c r="E2" s="18">
        <f>(Synthèse!L2*20)/Synthèse!O2</f>
        <v>16.457142857142859</v>
      </c>
      <c r="F2" s="18">
        <f>(Synthèse!M2*20)/Synthèse!O2</f>
        <v>14.857142857142858</v>
      </c>
      <c r="G2" s="18">
        <f>(Synthèse!N2*20)/Synthèse!O2</f>
        <v>13.028571428571428</v>
      </c>
      <c r="H2" s="36" t="s">
        <v>0</v>
      </c>
      <c r="I2" s="19">
        <f>(Architecture!K33)</f>
        <v>6.1904761904761898</v>
      </c>
      <c r="J2" s="19">
        <f>(Architecture!L33)</f>
        <v>6.8095238095238093</v>
      </c>
      <c r="K2" s="19">
        <f>(Architecture!M33)</f>
        <v>6.9047619047619042</v>
      </c>
      <c r="L2" s="19">
        <f>(Architecture!N33)</f>
        <v>6.8571428571428568</v>
      </c>
      <c r="M2" s="19">
        <f>(Architecture!O33)</f>
        <v>6.1904761904761898</v>
      </c>
      <c r="N2" s="19">
        <f>(Architecture!P33)</f>
        <v>5.4285714285714279</v>
      </c>
      <c r="O2" s="20">
        <f>(Architecture!D33)</f>
        <v>8.3333333333333321</v>
      </c>
      <c r="Q2" s="54">
        <f>(Architecture!G2)</f>
        <v>21</v>
      </c>
      <c r="S2" s="24">
        <v>2</v>
      </c>
      <c r="T2" s="25">
        <f>B2*S2</f>
        <v>29.714285714285715</v>
      </c>
      <c r="U2" s="25">
        <f t="shared" ref="U2:U10" si="0">C2*S2</f>
        <v>32.685714285714283</v>
      </c>
      <c r="V2" s="25">
        <f t="shared" ref="V2:V10" si="1">D2*S2</f>
        <v>33.142857142857146</v>
      </c>
      <c r="W2" s="25">
        <f t="shared" ref="W2:W10" si="2">E2*S2</f>
        <v>32.914285714285718</v>
      </c>
      <c r="X2" s="25">
        <f t="shared" ref="X2:X10" si="3">F2*S2</f>
        <v>29.714285714285715</v>
      </c>
      <c r="Y2" s="25">
        <f t="shared" ref="Y2:Y10" si="4">G2*S2</f>
        <v>26.057142857142857</v>
      </c>
    </row>
    <row r="3" spans="1:25">
      <c r="B3" s="18">
        <f>(Synthèse!I3*20)/Synthèse!O3</f>
        <v>15.714285714285714</v>
      </c>
      <c r="C3" s="18">
        <f>(Synthèse!J3*20)/Synthèse!O3</f>
        <v>12</v>
      </c>
      <c r="D3" s="18">
        <f>(Synthèse!K3*20)/Synthèse!O3</f>
        <v>18</v>
      </c>
      <c r="E3" s="18">
        <f>(Synthèse!L3*20)/Synthèse!O3</f>
        <v>14.857142857142858</v>
      </c>
      <c r="F3" s="18">
        <f>(Synthèse!M3*20)/Synthèse!O3</f>
        <v>13.142857142857142</v>
      </c>
      <c r="G3" s="18">
        <f>(Synthèse!N3*20)/Synthèse!O3</f>
        <v>12</v>
      </c>
      <c r="H3" s="37" t="s">
        <v>27</v>
      </c>
      <c r="I3" s="21">
        <f>(Installation!K20)</f>
        <v>6.875</v>
      </c>
      <c r="J3" s="21">
        <f>(Installation!L20)</f>
        <v>5.25</v>
      </c>
      <c r="K3" s="21">
        <f>(Installation!M20)</f>
        <v>7.875</v>
      </c>
      <c r="L3" s="21">
        <f>(Installation!N20)</f>
        <v>6.5</v>
      </c>
      <c r="M3" s="21">
        <f>(Installation!O20)</f>
        <v>5.75</v>
      </c>
      <c r="N3" s="21">
        <f>(Installation!P20)</f>
        <v>5.25</v>
      </c>
      <c r="O3" s="22">
        <f>(Installation!D20)</f>
        <v>8.75</v>
      </c>
      <c r="Q3" s="54">
        <f>(Installation!G2)</f>
        <v>8</v>
      </c>
      <c r="S3" s="24">
        <v>2</v>
      </c>
      <c r="T3" s="25">
        <f>B3*S3</f>
        <v>31.428571428571427</v>
      </c>
      <c r="U3" s="25">
        <f t="shared" si="0"/>
        <v>24</v>
      </c>
      <c r="V3" s="25">
        <f t="shared" si="1"/>
        <v>36</v>
      </c>
      <c r="W3" s="25">
        <f t="shared" si="2"/>
        <v>29.714285714285715</v>
      </c>
      <c r="X3" s="25">
        <f t="shared" si="3"/>
        <v>26.285714285714285</v>
      </c>
      <c r="Y3" s="25">
        <f t="shared" si="4"/>
        <v>24</v>
      </c>
    </row>
    <row r="4" spans="1:25">
      <c r="B4" s="18">
        <f>(Synthèse!I4*20)/Synthèse!O4</f>
        <v>16.599999999999998</v>
      </c>
      <c r="C4" s="18">
        <f>(Synthèse!J4*20)/Synthèse!O4</f>
        <v>13.399999999999999</v>
      </c>
      <c r="D4" s="18">
        <f>(Synthèse!K4*20)/Synthèse!O4</f>
        <v>18.2</v>
      </c>
      <c r="E4" s="18">
        <f>(Synthèse!L4*20)/Synthèse!O4</f>
        <v>18.399999999999995</v>
      </c>
      <c r="F4" s="18">
        <f>(Synthèse!M4*20)/Synthèse!O4</f>
        <v>18.799999999999997</v>
      </c>
      <c r="G4" s="18">
        <f>(Synthèse!N4*20)/Synthèse!O4</f>
        <v>12.6</v>
      </c>
      <c r="H4" s="37" t="s">
        <v>18</v>
      </c>
      <c r="I4" s="21">
        <f>(GUI!K23)</f>
        <v>7.5454545454545459</v>
      </c>
      <c r="J4" s="21">
        <f>(GUI!L23)</f>
        <v>6.0909090909090908</v>
      </c>
      <c r="K4" s="21">
        <f>(GUI!M23)</f>
        <v>8.2727272727272734</v>
      </c>
      <c r="L4" s="21">
        <f>(GUI!N23)</f>
        <v>8.3636363636363633</v>
      </c>
      <c r="M4" s="21">
        <f>(GUI!O23)</f>
        <v>8.545454545454545</v>
      </c>
      <c r="N4" s="21">
        <f>(GUI!P23)</f>
        <v>5.7272727272727275</v>
      </c>
      <c r="O4" s="22">
        <f>(GUI!D23)</f>
        <v>9.0909090909090917</v>
      </c>
      <c r="Q4" s="54">
        <f>(GUI!G2)</f>
        <v>11</v>
      </c>
      <c r="S4" s="24">
        <v>6</v>
      </c>
      <c r="T4" s="25">
        <f t="shared" ref="T4:T10" si="5">B4*S4</f>
        <v>99.6</v>
      </c>
      <c r="U4" s="25">
        <f t="shared" si="0"/>
        <v>80.399999999999991</v>
      </c>
      <c r="V4" s="25">
        <f t="shared" si="1"/>
        <v>109.19999999999999</v>
      </c>
      <c r="W4" s="25">
        <f t="shared" si="2"/>
        <v>110.39999999999998</v>
      </c>
      <c r="X4" s="25">
        <f t="shared" si="3"/>
        <v>112.79999999999998</v>
      </c>
      <c r="Y4" s="25">
        <f t="shared" si="4"/>
        <v>75.599999999999994</v>
      </c>
    </row>
    <row r="5" spans="1:25">
      <c r="B5" s="18">
        <f>(Synthèse!I5*20)/Synthèse!O5</f>
        <v>14.45045045045045</v>
      </c>
      <c r="C5" s="18">
        <f>(Synthèse!J5*20)/Synthèse!O5</f>
        <v>12.864864864864865</v>
      </c>
      <c r="D5" s="18">
        <f>(Synthèse!K5*20)/Synthèse!O5</f>
        <v>16.936936936936938</v>
      </c>
      <c r="E5" s="18">
        <f>(Synthèse!L5*20)/Synthèse!O5</f>
        <v>17.441441441441441</v>
      </c>
      <c r="F5" s="18">
        <f>(Synthèse!M5*20)/Synthèse!O5</f>
        <v>17.513513513513516</v>
      </c>
      <c r="G5" s="18">
        <f>(Synthèse!N5*20)/Synthèse!O5</f>
        <v>12.360360360360362</v>
      </c>
      <c r="H5" s="37" t="str">
        <f>Fonctionnels!B1</f>
        <v>Aspects fonctionnels</v>
      </c>
      <c r="I5" s="21">
        <f>(Fonctionnels!K65)</f>
        <v>7.566037735849056</v>
      </c>
      <c r="J5" s="21">
        <f>(Fonctionnels!L65)</f>
        <v>6.7358490566037732</v>
      </c>
      <c r="K5" s="21">
        <f>(Fonctionnels!M65)</f>
        <v>8.8679245283018862</v>
      </c>
      <c r="L5" s="21">
        <f>(Fonctionnels!N65)</f>
        <v>9.1320754716981121</v>
      </c>
      <c r="M5" s="21">
        <f>(Fonctionnels!O65)</f>
        <v>9.1698113207547163</v>
      </c>
      <c r="N5" s="21">
        <f>(Fonctionnels!P65)</f>
        <v>6.4716981132075473</v>
      </c>
      <c r="O5" s="22">
        <f>(Fonctionnels!D65)</f>
        <v>10.471698113207546</v>
      </c>
      <c r="Q5" s="54">
        <f>(Fonctionnels!G2)</f>
        <v>53</v>
      </c>
      <c r="S5" s="24">
        <v>9</v>
      </c>
      <c r="T5" s="25">
        <f t="shared" si="5"/>
        <v>130.05405405405406</v>
      </c>
      <c r="U5" s="25">
        <f t="shared" si="0"/>
        <v>115.78378378378379</v>
      </c>
      <c r="V5" s="25">
        <f t="shared" si="1"/>
        <v>152.43243243243245</v>
      </c>
      <c r="W5" s="25">
        <f t="shared" si="2"/>
        <v>156.97297297297297</v>
      </c>
      <c r="X5" s="25">
        <f t="shared" si="3"/>
        <v>157.62162162162164</v>
      </c>
      <c r="Y5" s="25">
        <f t="shared" si="4"/>
        <v>111.24324324324326</v>
      </c>
    </row>
    <row r="6" spans="1:25">
      <c r="B6" s="18">
        <f>(Synthèse!I6*20)/Synthèse!O6</f>
        <v>15.2258064516129</v>
      </c>
      <c r="C6" s="18">
        <f>(Synthèse!J6*20)/Synthèse!O6</f>
        <v>12</v>
      </c>
      <c r="D6" s="18">
        <f>(Synthèse!K6*20)/Synthèse!O6</f>
        <v>17.35483870967742</v>
      </c>
      <c r="E6" s="18">
        <f>(Synthèse!L6*20)/Synthèse!O6</f>
        <v>17.225806451612904</v>
      </c>
      <c r="F6" s="18">
        <f>(Synthèse!M6*20)/Synthèse!O6</f>
        <v>15.870967741935482</v>
      </c>
      <c r="G6" s="18">
        <f>(Synthèse!N6*20)/Synthèse!O6</f>
        <v>11.096774193548386</v>
      </c>
      <c r="H6" s="37" t="s">
        <v>19</v>
      </c>
      <c r="I6" s="21">
        <f>(Exploit!K42)</f>
        <v>7.8666666666666663</v>
      </c>
      <c r="J6" s="21">
        <f>(Exploit!L42)</f>
        <v>6.2</v>
      </c>
      <c r="K6" s="21">
        <f>(Exploit!M42)</f>
        <v>8.9666666666666668</v>
      </c>
      <c r="L6" s="21">
        <f>(Exploit!N42)</f>
        <v>8.9</v>
      </c>
      <c r="M6" s="21">
        <f>(Exploit!O42)</f>
        <v>8.1999999999999993</v>
      </c>
      <c r="N6" s="21">
        <f>(Exploit!P42)</f>
        <v>5.7333333333333334</v>
      </c>
      <c r="O6" s="22">
        <f>(Exploit!D42)</f>
        <v>10.333333333333334</v>
      </c>
      <c r="Q6" s="54">
        <f>(Exploit!G2)</f>
        <v>30</v>
      </c>
      <c r="S6" s="24">
        <v>8.5</v>
      </c>
      <c r="T6" s="25">
        <f t="shared" si="5"/>
        <v>129.41935483870967</v>
      </c>
      <c r="U6" s="25">
        <f t="shared" si="0"/>
        <v>102</v>
      </c>
      <c r="V6" s="25">
        <f t="shared" si="1"/>
        <v>147.51612903225808</v>
      </c>
      <c r="W6" s="25">
        <f t="shared" si="2"/>
        <v>146.41935483870969</v>
      </c>
      <c r="X6" s="25">
        <f t="shared" si="3"/>
        <v>134.90322580645159</v>
      </c>
      <c r="Y6" s="25">
        <f t="shared" si="4"/>
        <v>94.322580645161281</v>
      </c>
    </row>
    <row r="7" spans="1:25">
      <c r="B7" s="18">
        <f>(Synthèse!I7*20)/Synthèse!O7</f>
        <v>16.761904761904763</v>
      </c>
      <c r="C7" s="18">
        <f>(Synthèse!J7*20)/Synthèse!O7</f>
        <v>12.190476190476192</v>
      </c>
      <c r="D7" s="18">
        <f>(Synthèse!K7*20)/Synthèse!O7</f>
        <v>17.333333333333336</v>
      </c>
      <c r="E7" s="18">
        <f>(Synthèse!L7*20)/Synthèse!O7</f>
        <v>18.095238095238095</v>
      </c>
      <c r="F7" s="18">
        <f>(Synthèse!M7*20)/Synthèse!O7</f>
        <v>18.476190476190474</v>
      </c>
      <c r="G7" s="18">
        <f>(Synthèse!N7*20)/Synthèse!O7</f>
        <v>13.333333333333332</v>
      </c>
      <c r="H7" s="37" t="s">
        <v>25</v>
      </c>
      <c r="I7" s="21">
        <f>(Sécurité!K21)</f>
        <v>9.7777777777777768</v>
      </c>
      <c r="J7" s="21">
        <f>(Sécurité!L21)</f>
        <v>7.1111111111111107</v>
      </c>
      <c r="K7" s="21">
        <f>(Sécurité!M21)</f>
        <v>10.111111111111111</v>
      </c>
      <c r="L7" s="21">
        <f>(Sécurité!N21)</f>
        <v>10.555555555555555</v>
      </c>
      <c r="M7" s="21">
        <f>(Sécurité!O21)</f>
        <v>10.777777777777777</v>
      </c>
      <c r="N7" s="21">
        <f>(Sécurité!P21)</f>
        <v>7.7777777777777777</v>
      </c>
      <c r="O7" s="22">
        <f>(Sécurité!D21)</f>
        <v>11.666666666666666</v>
      </c>
      <c r="Q7" s="54">
        <f>(Sécurité!G2)</f>
        <v>9</v>
      </c>
      <c r="S7" s="24">
        <v>3</v>
      </c>
      <c r="T7" s="25">
        <f t="shared" si="5"/>
        <v>50.285714285714292</v>
      </c>
      <c r="U7" s="25">
        <f t="shared" si="0"/>
        <v>36.571428571428577</v>
      </c>
      <c r="V7" s="25">
        <f t="shared" si="1"/>
        <v>52.000000000000007</v>
      </c>
      <c r="W7" s="25">
        <f t="shared" si="2"/>
        <v>54.285714285714285</v>
      </c>
      <c r="X7" s="25">
        <f t="shared" si="3"/>
        <v>55.428571428571423</v>
      </c>
      <c r="Y7" s="25">
        <f t="shared" si="4"/>
        <v>40</v>
      </c>
    </row>
    <row r="8" spans="1:25">
      <c r="B8" s="18">
        <f>(Synthèse!I8*20)/Synthèse!O8</f>
        <v>16.275862068965516</v>
      </c>
      <c r="C8" s="18">
        <f>(Synthèse!J8*20)/Synthèse!O8</f>
        <v>13.517241379310345</v>
      </c>
      <c r="D8" s="18">
        <f>(Synthèse!K8*20)/Synthèse!O8</f>
        <v>12.96551724137931</v>
      </c>
      <c r="E8" s="18">
        <f>(Synthèse!L8*20)/Synthèse!O8</f>
        <v>8.137931034482758</v>
      </c>
      <c r="F8" s="18">
        <f>(Synthèse!M8*20)/Synthèse!O8</f>
        <v>12.413793103448276</v>
      </c>
      <c r="G8" s="18">
        <f>(Synthèse!N8*20)/Synthèse!O8</f>
        <v>14.620689655172416</v>
      </c>
      <c r="H8" s="37" t="s">
        <v>26</v>
      </c>
      <c r="I8" s="21">
        <f>(Couts!K22)</f>
        <v>11.8</v>
      </c>
      <c r="J8" s="21">
        <f>(Couts!L22)</f>
        <v>9.8000000000000007</v>
      </c>
      <c r="K8" s="21">
        <f>(Couts!M22)</f>
        <v>9.4</v>
      </c>
      <c r="L8" s="21">
        <f>(Couts!N22)</f>
        <v>5.9</v>
      </c>
      <c r="M8" s="21">
        <f>(Couts!O22)</f>
        <v>9</v>
      </c>
      <c r="N8" s="21">
        <f>(Couts!P22)</f>
        <v>10.600000000000001</v>
      </c>
      <c r="O8" s="22">
        <f>(Couts!D22)</f>
        <v>14.5</v>
      </c>
      <c r="Q8" s="54">
        <f>(Couts!G2)</f>
        <v>10</v>
      </c>
      <c r="S8" s="24">
        <v>5.5</v>
      </c>
      <c r="T8" s="25">
        <f t="shared" si="5"/>
        <v>89.517241379310335</v>
      </c>
      <c r="U8" s="25">
        <f t="shared" si="0"/>
        <v>74.344827586206904</v>
      </c>
      <c r="V8" s="25">
        <f t="shared" si="1"/>
        <v>71.310344827586206</v>
      </c>
      <c r="W8" s="25">
        <f t="shared" si="2"/>
        <v>44.758620689655167</v>
      </c>
      <c r="X8" s="25">
        <f t="shared" si="3"/>
        <v>68.275862068965523</v>
      </c>
      <c r="Y8" s="25">
        <f t="shared" si="4"/>
        <v>80.413793103448285</v>
      </c>
    </row>
    <row r="9" spans="1:25" ht="17.399999999999999">
      <c r="B9" s="18">
        <f>(Synthèse!I9*20)/Synthèse!O9</f>
        <v>11.428571428571429</v>
      </c>
      <c r="C9" s="18">
        <f>(Synthèse!J9*20)/Synthèse!O9</f>
        <v>9.1428571428571423</v>
      </c>
      <c r="D9" s="18">
        <f>(Synthèse!K9*20)/Synthèse!O9</f>
        <v>12.38095238095238</v>
      </c>
      <c r="E9" s="18">
        <f>(Synthèse!L9*20)/Synthèse!O9</f>
        <v>11.428571428571429</v>
      </c>
      <c r="F9" s="18">
        <f>(Synthèse!M9*20)/Synthèse!O9</f>
        <v>12.38095238095238</v>
      </c>
      <c r="G9" s="18">
        <f>(Synthèse!N9*20)/Synthèse!O9</f>
        <v>9.3333333333333321</v>
      </c>
      <c r="H9" s="37" t="s">
        <v>20</v>
      </c>
      <c r="I9" s="21">
        <f>(Doc!K24)</f>
        <v>5</v>
      </c>
      <c r="J9" s="21">
        <f>(Doc!L24)</f>
        <v>4</v>
      </c>
      <c r="K9" s="21">
        <f>(Doc!M24)</f>
        <v>5.4166666666666661</v>
      </c>
      <c r="L9" s="21">
        <f>(Doc!N24)</f>
        <v>5</v>
      </c>
      <c r="M9" s="21">
        <f>(Doc!O24)</f>
        <v>5.4166666666666661</v>
      </c>
      <c r="N9" s="21">
        <f>(Doc!P24)</f>
        <v>4.083333333333333</v>
      </c>
      <c r="O9" s="22">
        <f>(Doc!D24)</f>
        <v>8.75</v>
      </c>
      <c r="P9" s="26"/>
      <c r="Q9" s="54">
        <f>(Doc!G2)</f>
        <v>12</v>
      </c>
      <c r="S9" s="24">
        <v>3</v>
      </c>
      <c r="T9" s="25">
        <f t="shared" si="5"/>
        <v>34.285714285714285</v>
      </c>
      <c r="U9" s="25">
        <f t="shared" si="0"/>
        <v>27.428571428571427</v>
      </c>
      <c r="V9" s="25">
        <f t="shared" si="1"/>
        <v>37.142857142857139</v>
      </c>
      <c r="W9" s="25">
        <f t="shared" si="2"/>
        <v>34.285714285714285</v>
      </c>
      <c r="X9" s="25">
        <f t="shared" si="3"/>
        <v>37.142857142857139</v>
      </c>
      <c r="Y9" s="25">
        <f t="shared" si="4"/>
        <v>27.999999999999996</v>
      </c>
    </row>
    <row r="10" spans="1:25">
      <c r="B10" s="18">
        <f>(Synthèse!I10*20)/Synthèse!O10</f>
        <v>14</v>
      </c>
      <c r="C10" s="18">
        <f>(Synthèse!J10*20)/Synthèse!O10</f>
        <v>10.8</v>
      </c>
      <c r="D10" s="18">
        <f>(Synthèse!K10*20)/Synthèse!O10</f>
        <v>15.2</v>
      </c>
      <c r="E10" s="18">
        <f>(Synthèse!L10*20)/Synthèse!O10</f>
        <v>15.4</v>
      </c>
      <c r="F10" s="18">
        <f>(Synthèse!M10*20)/Synthèse!O10</f>
        <v>15.2</v>
      </c>
      <c r="G10" s="18">
        <f>(Synthèse!N10*20)/Synthèse!O10</f>
        <v>11.200000000000001</v>
      </c>
      <c r="H10" s="37" t="s">
        <v>22</v>
      </c>
      <c r="I10" s="21">
        <f>(Maint!K22)</f>
        <v>7</v>
      </c>
      <c r="J10" s="21">
        <f>(Maint!L22)</f>
        <v>5.4</v>
      </c>
      <c r="K10" s="21">
        <f>(Maint!M22)</f>
        <v>7.6000000000000005</v>
      </c>
      <c r="L10" s="21">
        <f>(Maint!N22)</f>
        <v>7.7</v>
      </c>
      <c r="M10" s="21">
        <f>(Maint!O22)</f>
        <v>7.6000000000000005</v>
      </c>
      <c r="N10" s="21">
        <f>(Maint!P22)</f>
        <v>5.6000000000000005</v>
      </c>
      <c r="O10" s="22">
        <f>(Maint!D22)</f>
        <v>10</v>
      </c>
      <c r="Q10" s="54">
        <f>(Maint!G2)</f>
        <v>10</v>
      </c>
      <c r="S10" s="24">
        <v>5.5</v>
      </c>
      <c r="T10" s="25">
        <f t="shared" si="5"/>
        <v>77</v>
      </c>
      <c r="U10" s="25">
        <f t="shared" si="0"/>
        <v>59.400000000000006</v>
      </c>
      <c r="V10" s="25">
        <f t="shared" si="1"/>
        <v>83.6</v>
      </c>
      <c r="W10" s="25">
        <f t="shared" si="2"/>
        <v>84.7</v>
      </c>
      <c r="X10" s="25">
        <f t="shared" si="3"/>
        <v>83.6</v>
      </c>
      <c r="Y10" s="25">
        <f t="shared" si="4"/>
        <v>61.600000000000009</v>
      </c>
    </row>
    <row r="11" spans="1:25" ht="19.5" customHeight="1">
      <c r="A11" s="44" t="s">
        <v>21</v>
      </c>
      <c r="B11" s="18">
        <f>SUM(Synthèse!B2:B10)/9</f>
        <v>15.034891525881513</v>
      </c>
      <c r="C11" s="18">
        <f>SUM(Synthèse!C2:C10)/9</f>
        <v>12.473144080040631</v>
      </c>
      <c r="D11" s="18">
        <f>SUM(Synthèse!D2:D10)/9</f>
        <v>16.104778574856439</v>
      </c>
      <c r="E11" s="18">
        <f>SUM(Synthèse!E2:E10)/9</f>
        <v>15.271474907292482</v>
      </c>
      <c r="F11" s="18">
        <f>SUM(Synthèse!F2:F10)/9</f>
        <v>15.406157468448903</v>
      </c>
      <c r="G11" s="18">
        <f>SUM(Synthèse!G2:G10)/9</f>
        <v>12.174784700479917</v>
      </c>
      <c r="H11" s="23"/>
      <c r="I11" s="51">
        <f>(PRODUCT(20,T11)/S11)</f>
        <v>15.085504179468758</v>
      </c>
      <c r="J11" s="51">
        <f>(PRODUCT(20,U11)/S11)</f>
        <v>12.418299452937191</v>
      </c>
      <c r="K11" s="51">
        <f>(PRODUCT(20,V11)/S11)</f>
        <v>16.232463383775077</v>
      </c>
      <c r="L11" s="51">
        <f>(PRODUCT(20,W11)/S11)</f>
        <v>15.605639292164897</v>
      </c>
      <c r="M11" s="51">
        <f>(PRODUCT(20,X11)/S11)</f>
        <v>15.860048046482413</v>
      </c>
      <c r="N11" s="51">
        <f>(PRODUCT(20,Y11)/S11)</f>
        <v>12.162623816831363</v>
      </c>
      <c r="O11" s="53"/>
      <c r="S11" s="25">
        <f>(20*SUM(S2:S10)/9)</f>
        <v>98.888888888888886</v>
      </c>
      <c r="T11" s="25">
        <f t="shared" ref="T11:Y11" si="6">SUM(T2:T10)/9</f>
        <v>74.589437331817749</v>
      </c>
      <c r="U11" s="25">
        <f t="shared" si="6"/>
        <v>61.401591739522779</v>
      </c>
      <c r="V11" s="25">
        <f t="shared" si="6"/>
        <v>80.260513397554547</v>
      </c>
      <c r="W11" s="25">
        <f t="shared" si="6"/>
        <v>77.161216500148655</v>
      </c>
      <c r="X11" s="25">
        <f t="shared" si="6"/>
        <v>78.419126452051927</v>
      </c>
      <c r="Y11" s="25">
        <f t="shared" si="6"/>
        <v>60.137417760999519</v>
      </c>
    </row>
  </sheetData>
  <phoneticPr fontId="4" type="noConversion"/>
  <conditionalFormatting sqref="I11">
    <cfRule type="iconSet" priority="3">
      <iconSet iconSet="3Flags">
        <cfvo type="percent" val="0"/>
        <cfvo type="percent" val="33"/>
        <cfvo type="percent" val="67"/>
      </iconSet>
    </cfRule>
  </conditionalFormatting>
  <conditionalFormatting sqref="J11:O11">
    <cfRule type="iconSet" priority="2">
      <iconSet iconSet="3Flags">
        <cfvo type="percent" val="0"/>
        <cfvo type="percent" val="33"/>
        <cfvo type="percent" val="67"/>
      </iconSet>
    </cfRule>
  </conditionalFormatting>
  <conditionalFormatting sqref="B11:G11">
    <cfRule type="iconSet" priority="1">
      <iconSet iconSet="3Flags">
        <cfvo type="percent" val="0"/>
        <cfvo type="percent" val="33"/>
        <cfvo type="percent" val="67"/>
      </iconSet>
    </cfRule>
  </conditionalFormatting>
  <conditionalFormatting sqref="B2:G10">
    <cfRule type="iconSet" priority="9">
      <iconSet iconSet="3Flags">
        <cfvo type="percent" val="0"/>
        <cfvo type="percent" val="33"/>
        <cfvo type="percent" val="67"/>
      </iconSet>
    </cfRule>
  </conditionalFormatting>
  <conditionalFormatting sqref="S2:S10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</vt:i4>
      </vt:variant>
    </vt:vector>
  </HeadingPairs>
  <TitlesOfParts>
    <vt:vector size="19" baseType="lpstr">
      <vt:lpstr>Architecture</vt:lpstr>
      <vt:lpstr>Installation</vt:lpstr>
      <vt:lpstr>GUI</vt:lpstr>
      <vt:lpstr>Fonctionnels</vt:lpstr>
      <vt:lpstr>Exploit</vt:lpstr>
      <vt:lpstr>Sécurité</vt:lpstr>
      <vt:lpstr>Couts</vt:lpstr>
      <vt:lpstr>Doc</vt:lpstr>
      <vt:lpstr>Maint</vt:lpstr>
      <vt:lpstr>Synthèse</vt:lpstr>
      <vt:lpstr>Architecture!Zone_d_impression</vt:lpstr>
      <vt:lpstr>Couts!Zone_d_impression</vt:lpstr>
      <vt:lpstr>Doc!Zone_d_impression</vt:lpstr>
      <vt:lpstr>Exploit!Zone_d_impression</vt:lpstr>
      <vt:lpstr>Fonctionnels!Zone_d_impression</vt:lpstr>
      <vt:lpstr>GUI!Zone_d_impression</vt:lpstr>
      <vt:lpstr>Installation!Zone_d_impression</vt:lpstr>
      <vt:lpstr>Maint!Zone_d_impression</vt:lpstr>
      <vt:lpstr>Sécurité!Zone_d_impression</vt:lpstr>
    </vt:vector>
  </TitlesOfParts>
  <Company>UTAK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Tableaux de critères d'évaluation d'un produit d'ordonnancement</dc:title>
  <dc:subject>Ordonnancement</dc:subject>
  <dc:creator>François-Hugues MAILLIET</dc:creator>
  <cp:keywords>Ordonnancement Accompagnement Critère</cp:keywords>
  <cp:lastModifiedBy>fhm</cp:lastModifiedBy>
  <cp:lastPrinted>1999-10-13T06:47:31Z</cp:lastPrinted>
  <dcterms:created xsi:type="dcterms:W3CDTF">1999-10-11T10:04:18Z</dcterms:created>
  <dcterms:modified xsi:type="dcterms:W3CDTF">2016-09-11T19:43:12Z</dcterms:modified>
  <cp:category>Ordonnancement</cp:category>
</cp:coreProperties>
</file>